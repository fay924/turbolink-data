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20" customWidth="1" min="4" max="4"/>
    <col width="10" customWidth="1" min="5" max="5"/>
    <col width="40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</cols>
  <sheetData>
    <row r="1">
      <c r="A1" s="1" t="inlineStr">
        <is>
          <t>活动名称</t>
        </is>
      </c>
      <c r="B1" s="1" t="inlineStr">
        <is>
          <t>活动时间</t>
        </is>
      </c>
      <c r="C1" s="1" t="inlineStr">
        <is>
          <t>UV</t>
        </is>
      </c>
      <c r="D1" s="1" t="inlineStr">
        <is>
          <t>点击活动主按钮人数</t>
        </is>
      </c>
      <c r="E1" s="1" t="inlineStr">
        <is>
          <t>活动参与率</t>
        </is>
      </c>
      <c r="F1" s="1" t="inlineStr">
        <is>
          <t>任务名称</t>
        </is>
      </c>
      <c r="G1" s="1" t="inlineStr">
        <is>
          <t>完成任务人数</t>
        </is>
      </c>
      <c r="H1" s="1" t="inlineStr">
        <is>
          <t>任务完成率</t>
        </is>
      </c>
      <c r="I1" s="1" t="inlineStr">
        <is>
          <t>完成任务次数</t>
        </is>
      </c>
      <c r="J1" s="1" t="inlineStr">
        <is>
          <t>次留</t>
        </is>
      </c>
      <c r="K1" s="1" t="inlineStr">
        <is>
          <t>7日留</t>
        </is>
      </c>
      <c r="L1" s="1" t="inlineStr">
        <is>
          <t>回收金币</t>
        </is>
      </c>
      <c r="M1" s="1" t="inlineStr">
        <is>
          <t>金币回收比例</t>
        </is>
      </c>
      <c r="N1" s="1" t="inlineStr">
        <is>
          <t>投放金币人数</t>
        </is>
      </c>
      <c r="O1" s="1" t="inlineStr">
        <is>
          <t>投放金币率</t>
        </is>
      </c>
      <c r="P1" s="1" t="inlineStr">
        <is>
          <t>领取金币人数</t>
        </is>
      </c>
      <c r="Q1" s="1" t="inlineStr">
        <is>
          <t>领取金币率</t>
        </is>
      </c>
    </row>
    <row r="2">
      <c r="A2" s="2" t="inlineStr">
        <is>
          <t>九宫格解密</t>
        </is>
      </c>
      <c r="B2" s="2" t="inlineStr">
        <is>
          <t>2025-11-18 ~ 2025-11-30</t>
        </is>
      </c>
      <c r="C2" s="2" t="n">
        <v>2</v>
      </c>
      <c r="D2" s="2" t="n">
        <v>2</v>
      </c>
      <c r="E2" s="3">
        <f>IF(OR(C2=0,D2="/"),"/",D2/C2)</f>
        <v/>
      </c>
      <c r="F2" s="2" t="inlineStr">
        <is>
          <t>Read romance novels（10s）</t>
        </is>
      </c>
      <c r="G2" s="2" t="n">
        <v>2</v>
      </c>
      <c r="H2" s="3">
        <f>IF(OR($C$2=0,G2="/"),"/",G2/$C$2)</f>
        <v/>
      </c>
      <c r="I2" s="2" t="n">
        <v>2</v>
      </c>
      <c r="J2" s="3" t="inlineStr">
        <is>
          <t>/</t>
        </is>
      </c>
      <c r="K2" s="3" t="inlineStr">
        <is>
          <t>/</t>
        </is>
      </c>
      <c r="L2" s="2" t="n"/>
      <c r="M2" s="2" t="n"/>
      <c r="N2" s="2" t="n"/>
      <c r="O2" s="2" t="n"/>
      <c r="P2" s="2" t="n"/>
      <c r="Q2" s="2" t="n"/>
    </row>
    <row r="3">
      <c r="A3" s="2" t="inlineStr">
        <is>
          <t>金币大派送</t>
        </is>
      </c>
      <c r="B3" s="2" t="inlineStr">
        <is>
          <t>2025-08-17 ~ 2025-11-30</t>
        </is>
      </c>
      <c r="C3" s="2" t="n">
        <v>96488</v>
      </c>
      <c r="D3" s="2" t="n">
        <v>51375</v>
      </c>
      <c r="E3" s="3">
        <f>IF(OR(C3=0,D3="/"),"/",D3/C3)</f>
        <v/>
      </c>
      <c r="F3" s="2" t="inlineStr">
        <is>
          <t>看文章</t>
        </is>
      </c>
      <c r="G3" s="2" t="n">
        <v>12114</v>
      </c>
      <c r="H3" s="3">
        <f>IF(OR($C$3=0,G3="/"),"/",G3/$C$3)</f>
        <v/>
      </c>
      <c r="I3" s="2" t="n">
        <v>54315</v>
      </c>
      <c r="J3" s="3" t="n">
        <v>0.3944</v>
      </c>
      <c r="K3" s="3" t="n">
        <v>0.2618</v>
      </c>
      <c r="L3" s="2" t="n">
        <v>1043852</v>
      </c>
      <c r="M3" s="3" t="n">
        <v>0.2000084306692418</v>
      </c>
      <c r="N3" s="2" t="n">
        <v>33865</v>
      </c>
      <c r="O3" s="3">
        <f>IF(OR($C$3=0,N3="/"),"/",N3/$C$3)</f>
        <v/>
      </c>
      <c r="P3" s="2" t="n">
        <v>5033</v>
      </c>
      <c r="Q3" s="3">
        <f>IF(OR($C$3=0,P3="/"),"/",P3/$C$3)</f>
        <v/>
      </c>
    </row>
    <row r="4">
      <c r="A4" s="2" t="n"/>
      <c r="B4" s="2" t="n"/>
      <c r="C4" s="2" t="n"/>
      <c r="D4" s="2" t="n"/>
      <c r="E4" s="2" t="n"/>
      <c r="F4" s="2" t="inlineStr">
        <is>
          <t>有过充值</t>
        </is>
      </c>
      <c r="G4" s="2" t="n">
        <v>403970</v>
      </c>
      <c r="H4" s="3">
        <f>IF(OR($C$3=0,G4="/"),"/",G4/$C$3)</f>
        <v/>
      </c>
      <c r="I4" s="2" t="n">
        <v>568682</v>
      </c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骰子大富翁</t>
        </is>
      </c>
      <c r="B5" s="2" t="inlineStr">
        <is>
          <t>2025-07-30 ~ 2025-08-31</t>
        </is>
      </c>
      <c r="C5" s="2" t="n">
        <v>62983</v>
      </c>
      <c r="D5" s="2" t="n">
        <v>22711</v>
      </c>
      <c r="E5" s="3">
        <f>IF(OR(C5=0,D5="/"),"/",D5/C5)</f>
        <v/>
      </c>
      <c r="F5" s="2" t="inlineStr">
        <is>
          <t>看广告20秒</t>
        </is>
      </c>
      <c r="G5" s="2" t="n">
        <v>8606</v>
      </c>
      <c r="H5" s="3">
        <f>IF(OR($C$5=0,G5="/"),"/",G5/$C$5)</f>
        <v/>
      </c>
      <c r="I5" s="2" t="n">
        <v>62917</v>
      </c>
      <c r="J5" s="3" t="n">
        <v>0.2456</v>
      </c>
      <c r="K5" s="3" t="n">
        <v>0.1429</v>
      </c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inlineStr">
        <is>
          <t>看广告30秒</t>
        </is>
      </c>
      <c r="G6" s="2" t="n">
        <v>6199</v>
      </c>
      <c r="H6" s="3">
        <f>IF(OR($C$5=0,G6="/"),"/",G6/$C$5)</f>
        <v/>
      </c>
      <c r="I6" s="2" t="n">
        <v>54139</v>
      </c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九宫格解密</t>
        </is>
      </c>
      <c r="B7" s="2" t="inlineStr">
        <is>
          <t>2025-07-27 ~ 2025-09-30</t>
        </is>
      </c>
      <c r="C7" s="2" t="n">
        <v>2</v>
      </c>
      <c r="D7" s="2" t="inlineStr">
        <is>
          <t>/</t>
        </is>
      </c>
      <c r="E7" s="3">
        <f>IF(OR(C7=0,D7="/"),"/",D7/C7)</f>
        <v/>
      </c>
      <c r="F7" s="2" t="inlineStr">
        <is>
          <t>推薦を閲覧する</t>
        </is>
      </c>
      <c r="G7" s="2" t="n">
        <v>1</v>
      </c>
      <c r="H7" s="3">
        <f>IF(OR($C$7=0,G7="/"),"/",G7/$C$7)</f>
        <v/>
      </c>
      <c r="I7" s="2" t="n">
        <v>1</v>
      </c>
      <c r="J7" s="3" t="inlineStr">
        <is>
          <t>/</t>
        </is>
      </c>
      <c r="K7" s="3" t="inlineStr">
        <is>
          <t>/</t>
        </is>
      </c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inlineStr">
        <is>
          <t>推薦を閲覧する</t>
        </is>
      </c>
      <c r="G8" s="2" t="n">
        <v>1</v>
      </c>
      <c r="H8" s="3">
        <f>IF(OR($C$7=0,G8="/"),"/",G8/$C$7)</f>
        <v/>
      </c>
      <c r="I8" s="2" t="n">
        <v>1</v>
      </c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九宫格解密</t>
        </is>
      </c>
      <c r="B9" s="2" t="inlineStr">
        <is>
          <t>2025-07-27 ~ 2025-08-31</t>
        </is>
      </c>
      <c r="C9" s="2" t="n">
        <v>1</v>
      </c>
      <c r="D9" s="2" t="inlineStr">
        <is>
          <t>/</t>
        </is>
      </c>
      <c r="E9" s="3">
        <f>IF(OR(C9=0,D9="/"),"/",D9/C9)</f>
        <v/>
      </c>
      <c r="F9" s="2" t="inlineStr">
        <is>
          <t>広告を見る</t>
        </is>
      </c>
      <c r="G9" s="2" t="n">
        <v>1</v>
      </c>
      <c r="H9" s="3">
        <f>IF(OR($C$9=0,G9="/"),"/",G9/$C$9)</f>
        <v/>
      </c>
      <c r="I9" s="2" t="n">
        <v>2</v>
      </c>
      <c r="J9" s="3" t="inlineStr">
        <is>
          <t>/</t>
        </is>
      </c>
      <c r="K9" s="3" t="inlineStr">
        <is>
          <t>/</t>
        </is>
      </c>
      <c r="L9" s="2" t="n"/>
      <c r="M9" s="2" t="n"/>
      <c r="N9" s="2" t="n"/>
      <c r="O9" s="2" t="n"/>
      <c r="P9" s="2" t="n"/>
      <c r="Q9" s="2" t="n"/>
    </row>
    <row r="10">
      <c r="A10" s="2" t="inlineStr">
        <is>
          <t>金币大派送</t>
        </is>
      </c>
      <c r="B10" s="2" t="inlineStr">
        <is>
          <t>2025-07-23 ~ 2025-08-31</t>
        </is>
      </c>
      <c r="C10" s="2" t="n">
        <v>4</v>
      </c>
      <c r="D10" s="2" t="n">
        <v>3</v>
      </c>
      <c r="E10" s="3">
        <f>IF(OR(C10=0,D10="/"),"/",D10/C10)</f>
        <v/>
      </c>
      <c r="F10" s="2" t="inlineStr">
        <is>
          <t>有过充值</t>
        </is>
      </c>
      <c r="G10" s="2" t="n">
        <v>64206</v>
      </c>
      <c r="H10" s="3">
        <f>IF(OR($C$10=0,G10="/"),"/",G10/$C$10)</f>
        <v/>
      </c>
      <c r="I10" s="2" t="n">
        <v>89804</v>
      </c>
      <c r="J10" s="3" t="inlineStr">
        <is>
          <t>/</t>
        </is>
      </c>
      <c r="K10" s="3" t="inlineStr">
        <is>
          <t>/</t>
        </is>
      </c>
      <c r="L10" s="2" t="n">
        <v>20</v>
      </c>
      <c r="M10" s="3" t="n">
        <v>1</v>
      </c>
      <c r="N10" s="2" t="n">
        <v>1</v>
      </c>
      <c r="O10" s="3">
        <f>IF(OR($C$10=0,N10="/"),"/",N10/$C$10)</f>
        <v/>
      </c>
      <c r="P10" s="2" t="inlineStr">
        <is>
          <t>/</t>
        </is>
      </c>
      <c r="Q10" s="3">
        <f>IF(OR($C$10=0,P10="/"),"/",P10/$C$10)</f>
        <v/>
      </c>
    </row>
    <row r="11">
      <c r="A11" s="2" t="inlineStr">
        <is>
          <t>骰子大富翁</t>
        </is>
      </c>
      <c r="B11" s="2" t="inlineStr">
        <is>
          <t>2025-07-04 ~ 2025-08-01</t>
        </is>
      </c>
      <c r="C11" s="2" t="n">
        <v>220761</v>
      </c>
      <c r="D11" s="2" t="n">
        <v>92028</v>
      </c>
      <c r="E11" s="3">
        <f>IF(OR(C11=0,D11="/"),"/",D11/C11)</f>
        <v/>
      </c>
      <c r="F11" s="2" t="inlineStr">
        <is>
          <t>看广告20秒</t>
        </is>
      </c>
      <c r="G11" s="2" t="n">
        <v>40417</v>
      </c>
      <c r="H11" s="3">
        <f>IF(OR($C$11=0,G11="/"),"/",G11/$C$11)</f>
        <v/>
      </c>
      <c r="I11" s="2" t="n">
        <v>222536</v>
      </c>
      <c r="J11" s="3" t="n">
        <v>0.2188</v>
      </c>
      <c r="K11" s="3" t="n">
        <v>0.0925</v>
      </c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inlineStr">
        <is>
          <t>看广告30秒</t>
        </is>
      </c>
      <c r="G12" s="2" t="n">
        <v>25369</v>
      </c>
      <c r="H12" s="3">
        <f>IF(OR($C$11=0,G12="/"),"/",G12/$C$11)</f>
        <v/>
      </c>
      <c r="I12" s="2" t="n">
        <v>173538</v>
      </c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骰子大富翁</t>
        </is>
      </c>
      <c r="B13" s="2" t="inlineStr">
        <is>
          <t>2025-07-04 ~ 2025-08-31</t>
        </is>
      </c>
      <c r="C13" s="2" t="n">
        <v>2</v>
      </c>
      <c r="D13" s="2" t="n">
        <v>2</v>
      </c>
      <c r="E13" s="3">
        <f>IF(OR(C13=0,D13="/"),"/",D13/C13)</f>
        <v/>
      </c>
      <c r="F13" s="2" t="inlineStr">
        <is>
          <t>看广告20秒</t>
        </is>
      </c>
      <c r="G13" s="2" t="n">
        <v>2</v>
      </c>
      <c r="H13" s="3">
        <f>IF(OR($C$13=0,G13="/"),"/",G13/$C$13)</f>
        <v/>
      </c>
      <c r="I13" s="2" t="n">
        <v>3</v>
      </c>
      <c r="J13" s="3" t="inlineStr">
        <is>
          <t>/</t>
        </is>
      </c>
      <c r="K13" s="3" t="inlineStr">
        <is>
          <t>/</t>
        </is>
      </c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inlineStr">
        <is>
          <t>看广告30秒</t>
        </is>
      </c>
      <c r="G14" s="2" t="n">
        <v>1</v>
      </c>
      <c r="H14" s="3">
        <f>IF(OR($C$13=0,G14="/"),"/",G14/$C$13)</f>
        <v/>
      </c>
      <c r="I14" s="2" t="n">
        <v>2</v>
      </c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最强大脑</t>
        </is>
      </c>
      <c r="B15" s="2" t="inlineStr">
        <is>
          <t>2025-06-20 ~ 2025-06-21</t>
        </is>
      </c>
      <c r="C15" s="2" t="n">
        <v>1</v>
      </c>
      <c r="D15" s="2" t="n">
        <v>1</v>
      </c>
      <c r="E15" s="3">
        <f>IF(OR(C15=0,D15="/"),"/",D15/C15)</f>
        <v/>
      </c>
      <c r="F15" s="2" t="inlineStr">
        <is>
          <t>/</t>
        </is>
      </c>
      <c r="G15" s="2" t="inlineStr">
        <is>
          <t>/</t>
        </is>
      </c>
      <c r="H15" s="2" t="n"/>
      <c r="I15" s="2" t="inlineStr">
        <is>
          <t>/</t>
        </is>
      </c>
      <c r="J15" s="3" t="inlineStr">
        <is>
          <t>/</t>
        </is>
      </c>
      <c r="K15" s="3" t="inlineStr">
        <is>
          <t>/</t>
        </is>
      </c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九宫格解密</t>
        </is>
      </c>
      <c r="B16" s="2" t="inlineStr">
        <is>
          <t>2025-06-20 ~ 2025-06-30</t>
        </is>
      </c>
      <c r="C16" s="2" t="n">
        <v>2</v>
      </c>
      <c r="D16" s="2" t="n">
        <v>2</v>
      </c>
      <c r="E16" s="3">
        <f>IF(OR(C16=0,D16="/"),"/",D16/C16)</f>
        <v/>
      </c>
      <c r="F16" s="2" t="inlineStr">
        <is>
          <t>広告を20秒間視聴してください</t>
        </is>
      </c>
      <c r="G16" s="2" t="n">
        <v>2</v>
      </c>
      <c r="H16" s="3">
        <f>IF(OR($C$16=0,G16="/"),"/",G16/$C$16)</f>
        <v/>
      </c>
      <c r="I16" s="2" t="n">
        <v>3</v>
      </c>
      <c r="J16" s="3" t="inlineStr">
        <is>
          <t>/</t>
        </is>
      </c>
      <c r="K16" s="3" t="inlineStr">
        <is>
          <t>/</t>
        </is>
      </c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inlineStr">
        <is>
          <t>広告を30秒間視聴してください</t>
        </is>
      </c>
      <c r="G17" s="2" t="n">
        <v>1</v>
      </c>
      <c r="H17" s="3">
        <f>IF(OR($C$16=0,G17="/"),"/",G17/$C$16)</f>
        <v/>
      </c>
      <c r="I17" s="2" t="n">
        <v>3</v>
      </c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最强大脑</t>
        </is>
      </c>
      <c r="B18" s="2" t="inlineStr">
        <is>
          <t>2025-06-18 ~ 2025-07-05</t>
        </is>
      </c>
      <c r="C18" s="2" t="n">
        <v>155229</v>
      </c>
      <c r="D18" s="2" t="n">
        <v>72776</v>
      </c>
      <c r="E18" s="3">
        <f>IF(OR(C18=0,D18="/"),"/",D18/C18)</f>
        <v/>
      </c>
      <c r="F18" s="2" t="inlineStr">
        <is>
          <t>/</t>
        </is>
      </c>
      <c r="G18" s="2" t="inlineStr">
        <is>
          <t>/</t>
        </is>
      </c>
      <c r="H18" s="2" t="n"/>
      <c r="I18" s="2" t="inlineStr">
        <is>
          <t>/</t>
        </is>
      </c>
      <c r="J18" s="3" t="inlineStr">
        <is>
          <t>/</t>
        </is>
      </c>
      <c r="K18" s="3" t="n">
        <v>1</v>
      </c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最强大脑</t>
        </is>
      </c>
      <c r="B19" s="2" t="inlineStr">
        <is>
          <t>2025-06-18 ~ 2025-07-05</t>
        </is>
      </c>
      <c r="C19" s="2" t="n">
        <v>179555</v>
      </c>
      <c r="D19" s="2" t="n">
        <v>83907</v>
      </c>
      <c r="E19" s="3">
        <f>IF(OR(C19=0,D19="/"),"/",D19/C19)</f>
        <v/>
      </c>
      <c r="F19" s="2" t="inlineStr">
        <is>
          <t>/</t>
        </is>
      </c>
      <c r="G19" s="2" t="inlineStr">
        <is>
          <t>/</t>
        </is>
      </c>
      <c r="H19" s="2" t="n"/>
      <c r="I19" s="2" t="inlineStr">
        <is>
          <t>/</t>
        </is>
      </c>
      <c r="J19" s="3" t="inlineStr">
        <is>
          <t>/</t>
        </is>
      </c>
      <c r="K19" s="3" t="n">
        <v>1</v>
      </c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最强大脑</t>
        </is>
      </c>
      <c r="B20" s="2" t="inlineStr">
        <is>
          <t>2025-06-18 ~ 2025-07-05</t>
        </is>
      </c>
      <c r="C20" s="2" t="n">
        <v>104300</v>
      </c>
      <c r="D20" s="2" t="n">
        <v>44230</v>
      </c>
      <c r="E20" s="3">
        <f>IF(OR(C20=0,D20="/"),"/",D20/C20)</f>
        <v/>
      </c>
      <c r="F20" s="2" t="inlineStr">
        <is>
          <t>/</t>
        </is>
      </c>
      <c r="G20" s="2" t="inlineStr">
        <is>
          <t>/</t>
        </is>
      </c>
      <c r="H20" s="2" t="n"/>
      <c r="I20" s="2" t="inlineStr">
        <is>
          <t>/</t>
        </is>
      </c>
      <c r="J20" s="3" t="n">
        <v>0.392</v>
      </c>
      <c r="K20" s="3" t="n">
        <v>0.0002</v>
      </c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最强大脑</t>
        </is>
      </c>
      <c r="B21" s="2" t="inlineStr">
        <is>
          <t>2025-06-16 ~ 2025-07-05</t>
        </is>
      </c>
      <c r="C21" s="2" t="n">
        <v>8</v>
      </c>
      <c r="D21" s="2" t="n">
        <v>6</v>
      </c>
      <c r="E21" s="3">
        <f>IF(OR(C21=0,D21="/"),"/",D21/C21)</f>
        <v/>
      </c>
      <c r="F21" s="2" t="inlineStr">
        <is>
          <t>观看时长</t>
        </is>
      </c>
      <c r="G21" s="2" t="n">
        <v>3</v>
      </c>
      <c r="H21" s="3">
        <f>IF(OR($C$21=0,G21="/"),"/",G21/$C$21)</f>
        <v/>
      </c>
      <c r="I21" s="2" t="n">
        <v>7</v>
      </c>
      <c r="J21" s="3" t="n">
        <v>0.3333</v>
      </c>
      <c r="K21" s="3" t="inlineStr">
        <is>
          <t>/</t>
        </is>
      </c>
      <c r="L21" s="2" t="n"/>
      <c r="M21" s="2" t="n"/>
      <c r="N21" s="2" t="n"/>
      <c r="O21" s="2" t="n"/>
      <c r="P21" s="2" t="n"/>
      <c r="Q21" s="2" t="n"/>
    </row>
    <row r="22">
      <c r="A22" s="2" t="inlineStr">
        <is>
          <t>激励养成</t>
        </is>
      </c>
      <c r="B22" s="2" t="inlineStr">
        <is>
          <t>2025-05-15 ~ 2025-06-14</t>
        </is>
      </c>
      <c r="C22" s="2" t="n">
        <v>142270</v>
      </c>
      <c r="D22" s="2" t="n">
        <v>54100</v>
      </c>
      <c r="E22" s="3">
        <f>IF(OR(C22=0,D22="/"),"/",D22/C22)</f>
        <v/>
      </c>
      <c r="F22" s="2" t="inlineStr">
        <is>
          <t>Unlock 1 episode each day</t>
        </is>
      </c>
      <c r="G22" s="2" t="n">
        <v>25854</v>
      </c>
      <c r="H22" s="3">
        <f>IF(OR($C$22=0,G22="/"),"/",G22/$C$22)</f>
        <v/>
      </c>
      <c r="I22" s="2" t="n">
        <v>328550</v>
      </c>
      <c r="J22" s="3" t="n">
        <v>0.2578</v>
      </c>
      <c r="K22" s="3" t="n">
        <v>0.1379</v>
      </c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>
        <v>2814</v>
      </c>
      <c r="E23" s="3">
        <f>IF(OR(C22=0,D23=0),"/",D23/C22)</f>
        <v/>
      </c>
      <c r="F23" s="2" t="inlineStr">
        <is>
          <t>Top Up</t>
        </is>
      </c>
      <c r="G23" s="2" t="n">
        <v>2525</v>
      </c>
      <c r="H23" s="3">
        <f>IF(OR($C$22=0,G23="/"),"/",G23/$C$22)</f>
        <v/>
      </c>
      <c r="I23" s="2" t="n">
        <v>3420</v>
      </c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inlineStr">
        <is>
          <t>Watch Ads</t>
        </is>
      </c>
      <c r="G24" s="2" t="n">
        <v>31906</v>
      </c>
      <c r="H24" s="3">
        <f>IF(OR($C$22=0,G24="/"),"/",G24/$C$22)</f>
        <v/>
      </c>
      <c r="I24" s="2" t="n">
        <v>1005541</v>
      </c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inlineStr">
        <is>
          <t>/</t>
        </is>
      </c>
      <c r="G25" s="2" t="inlineStr">
        <is>
          <t>/</t>
        </is>
      </c>
      <c r="H25" s="2" t="n"/>
      <c r="I25" s="2" t="inlineStr">
        <is>
          <t>/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inlineStr">
        <is>
          <t>九宫格解密</t>
        </is>
      </c>
      <c r="B26" s="2" t="inlineStr">
        <is>
          <t>2025-04-23 ~ 2025-06-20</t>
        </is>
      </c>
      <c r="C26" s="2" t="n">
        <v>463039</v>
      </c>
      <c r="D26" s="2" t="n">
        <v>311929</v>
      </c>
      <c r="E26" s="3">
        <f>IF(OR(C26=0,D26="/"),"/",D26/C26)</f>
        <v/>
      </c>
      <c r="F26" s="2" t="inlineStr">
        <is>
          <t>広告を見る</t>
        </is>
      </c>
      <c r="G26" s="2" t="n">
        <v>170823</v>
      </c>
      <c r="H26" s="3">
        <f>IF(OR($C$26=0,G26="/"),"/",G26/$C$26)</f>
        <v/>
      </c>
      <c r="I26" s="2" t="n">
        <v>1236401</v>
      </c>
      <c r="J26" s="3" t="n">
        <v>0.1473</v>
      </c>
      <c r="K26" s="3" t="n">
        <v>0.0925</v>
      </c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inlineStr">
        <is>
          <t>広告を見る</t>
        </is>
      </c>
      <c r="G27" s="2" t="n">
        <v>100258</v>
      </c>
      <c r="H27" s="3">
        <f>IF(OR($C$26=0,G27="/"),"/",G27/$C$26)</f>
        <v/>
      </c>
      <c r="I27" s="2" t="n">
        <v>1321007</v>
      </c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inlineStr">
        <is>
          <t>激励养成</t>
        </is>
      </c>
      <c r="B28" s="2" t="inlineStr">
        <is>
          <t>2025-04-03 ~ 2025-05-11</t>
        </is>
      </c>
      <c r="C28" s="2" t="n">
        <v>159235</v>
      </c>
      <c r="D28" s="2" t="n">
        <v>73782</v>
      </c>
      <c r="E28" s="3">
        <f>IF(OR(C28=0,D28="/"),"/",D28/C28)</f>
        <v/>
      </c>
      <c r="F28" s="2" t="inlineStr">
        <is>
          <t>Watch dramas for 30 min daily</t>
        </is>
      </c>
      <c r="G28" s="2" t="n">
        <v>341162</v>
      </c>
      <c r="H28" s="3">
        <f>IF(OR($C$28=0,G28="/"),"/",G28/$C$28)</f>
        <v/>
      </c>
      <c r="I28" s="2" t="n">
        <v>729003</v>
      </c>
      <c r="J28" s="3" t="inlineStr">
        <is>
          <t>/</t>
        </is>
      </c>
      <c r="K28" s="3" t="inlineStr">
        <is>
          <t>/</t>
        </is>
      </c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>
        <v>3031</v>
      </c>
      <c r="E29" s="3">
        <f>IF(OR(C28=0,D29=0),"/",D29/C28)</f>
        <v/>
      </c>
      <c r="F29" s="2" t="inlineStr">
        <is>
          <t>Unlock 1 episodes daily</t>
        </is>
      </c>
      <c r="G29" s="2" t="n">
        <v>15479</v>
      </c>
      <c r="H29" s="3">
        <f>IF(OR($C$28=0,G29="/"),"/",G29/$C$28)</f>
        <v/>
      </c>
      <c r="I29" s="2" t="n">
        <v>217087</v>
      </c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inlineStr">
        <is>
          <t>Read Articles for 20s</t>
        </is>
      </c>
      <c r="G30" s="2" t="n">
        <v>12373</v>
      </c>
      <c r="H30" s="3">
        <f>IF(OR($C$28=0,G30="/"),"/",G30/$C$28)</f>
        <v/>
      </c>
      <c r="I30" s="2" t="n">
        <v>61504</v>
      </c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inlineStr">
        <is>
          <t>Make a purchase</t>
        </is>
      </c>
      <c r="G31" s="2" t="n">
        <v>178841</v>
      </c>
      <c r="H31" s="3">
        <f>IF(OR($C$28=0,G31="/"),"/",G31/$C$28)</f>
        <v/>
      </c>
      <c r="I31" s="2" t="n">
        <v>206948</v>
      </c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inlineStr">
        <is>
          <t>Watch Ads</t>
        </is>
      </c>
      <c r="G32" s="2" t="n">
        <v>18377</v>
      </c>
      <c r="H32" s="3">
        <f>IF(OR($C$28=0,G32="/"),"/",G32/$C$28)</f>
        <v/>
      </c>
      <c r="I32" s="2" t="n">
        <v>367623</v>
      </c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inlineStr">
        <is>
          <t>/</t>
        </is>
      </c>
      <c r="G33" s="2" t="inlineStr">
        <is>
          <t>/</t>
        </is>
      </c>
      <c r="H33" s="2" t="n"/>
      <c r="I33" s="2" t="inlineStr">
        <is>
          <t>/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inlineStr">
        <is>
          <t>幸运翻牌</t>
        </is>
      </c>
      <c r="B34" s="2" t="inlineStr">
        <is>
          <t>2025-03-31 ~ 2025-04-06</t>
        </is>
      </c>
      <c r="C34" s="2" t="n">
        <v>12802</v>
      </c>
      <c r="D34" s="2" t="n">
        <v>3998</v>
      </c>
      <c r="E34" s="3">
        <f>IF(OR(C34=0,D34="/"),"/",D34/C34)</f>
        <v/>
      </c>
      <c r="F34" s="2" t="inlineStr">
        <is>
          <t>Menonton 10 menit perhari</t>
        </is>
      </c>
      <c r="G34" s="2" t="n">
        <v>597</v>
      </c>
      <c r="H34" s="3">
        <f>IF(OR($C$34=0,G34="/"),"/",G34/$C$34)</f>
        <v/>
      </c>
      <c r="I34" s="2" t="n">
        <v>5373</v>
      </c>
      <c r="J34" s="3" t="n">
        <v>0.0746</v>
      </c>
      <c r="K34" s="3" t="inlineStr">
        <is>
          <t>/</t>
        </is>
      </c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inlineStr">
        <is>
          <t>Membuka 1 episode perhari</t>
        </is>
      </c>
      <c r="G35" s="2" t="n">
        <v>194043</v>
      </c>
      <c r="H35" s="3">
        <f>IF(OR($C$34=0,G35="/"),"/",G35/$C$34)</f>
        <v/>
      </c>
      <c r="I35" s="2" t="n">
        <v>1611279</v>
      </c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inlineStr">
        <is>
          <t>Membuka 3 episode perhari</t>
        </is>
      </c>
      <c r="G36" s="2" t="n">
        <v>100931</v>
      </c>
      <c r="H36" s="3">
        <f>IF(OR($C$34=0,G36="/"),"/",G36/$C$34)</f>
        <v/>
      </c>
      <c r="I36" s="2" t="n">
        <v>466844</v>
      </c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inlineStr">
        <is>
          <t>Membuka 5 episode perhari</t>
        </is>
      </c>
      <c r="G37" s="2" t="n">
        <v>73716</v>
      </c>
      <c r="H37" s="3">
        <f>IF(OR($C$34=0,G37="/"),"/",G37/$C$34)</f>
        <v/>
      </c>
      <c r="I37" s="2" t="n">
        <v>252796</v>
      </c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inlineStr">
        <is>
          <t>Baca artikel selama 20 detik</t>
        </is>
      </c>
      <c r="G38" s="2" t="n">
        <v>115</v>
      </c>
      <c r="H38" s="3">
        <f>IF(OR($C$34=0,G38="/"),"/",G38/$C$34)</f>
        <v/>
      </c>
      <c r="I38" s="2" t="n">
        <v>506</v>
      </c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inlineStr">
        <is>
          <t>Jelajahi berita selama 30 detik</t>
        </is>
      </c>
      <c r="G39" s="2" t="n">
        <v>113</v>
      </c>
      <c r="H39" s="3">
        <f>IF(OR($C$34=0,G39="/"),"/",G39/$C$34)</f>
        <v/>
      </c>
      <c r="I39" s="2" t="n">
        <v>1824</v>
      </c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inlineStr">
        <is>
          <t>Isi Ulang</t>
        </is>
      </c>
      <c r="G40" s="2" t="n">
        <v>7</v>
      </c>
      <c r="H40" s="3">
        <f>IF(OR($C$34=0,G40="/"),"/",G40/$C$34)</f>
        <v/>
      </c>
      <c r="I40" s="2" t="n">
        <v>9</v>
      </c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inlineStr">
        <is>
          <t>幸运翻牌</t>
        </is>
      </c>
      <c r="B41" s="2" t="inlineStr">
        <is>
          <t>2025-03-26 ~ 2025-04-20</t>
        </is>
      </c>
      <c r="C41" s="2" t="n">
        <v>23788</v>
      </c>
      <c r="D41" s="2" t="n">
        <v>11394</v>
      </c>
      <c r="E41" s="3">
        <f>IF(OR(C41=0,D41="/"),"/",D41/C41)</f>
        <v/>
      </c>
      <c r="F41" s="2" t="inlineStr">
        <is>
          <t>毎日10分視聴</t>
        </is>
      </c>
      <c r="G41" s="2" t="n">
        <v>364</v>
      </c>
      <c r="H41" s="3">
        <f>IF(OR($C$41=0,G41="/"),"/",G41/$C$41)</f>
        <v/>
      </c>
      <c r="I41" s="2" t="n">
        <v>2464</v>
      </c>
      <c r="J41" s="3" t="n">
        <v>0.06320000000000001</v>
      </c>
      <c r="K41" s="3" t="n">
        <v>0.1579</v>
      </c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inlineStr">
        <is>
          <t>毎日1話解放</t>
        </is>
      </c>
      <c r="G42" s="2" t="n">
        <v>756</v>
      </c>
      <c r="H42" s="3">
        <f>IF(OR($C$41=0,G42="/"),"/",G42/$C$41)</f>
        <v/>
      </c>
      <c r="I42" s="2" t="n">
        <v>8977</v>
      </c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inlineStr">
        <is>
          <t>チャージ</t>
        </is>
      </c>
      <c r="G43" s="2" t="n">
        <v>76</v>
      </c>
      <c r="H43" s="3">
        <f>IF(OR($C$41=0,G43="/"),"/",G43/$C$41)</f>
        <v/>
      </c>
      <c r="I43" s="2" t="n">
        <v>193</v>
      </c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inlineStr">
        <is>
          <t>広告視聴</t>
        </is>
      </c>
      <c r="G44" s="2" t="n">
        <v>1714</v>
      </c>
      <c r="H44" s="3">
        <f>IF(OR($C$41=0,G44="/"),"/",G44/$C$41)</f>
        <v/>
      </c>
      <c r="I44" s="2" t="n">
        <v>10969</v>
      </c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inlineStr">
        <is>
          <t>20秒間記事を読む</t>
        </is>
      </c>
      <c r="G45" s="2" t="n">
        <v>2158</v>
      </c>
      <c r="H45" s="3">
        <f>IF(OR($C$41=0,G45="/"),"/",G45/$C$41)</f>
        <v/>
      </c>
      <c r="I45" s="2" t="n">
        <v>3902</v>
      </c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inlineStr">
        <is>
          <t>九宫格解密</t>
        </is>
      </c>
      <c r="B46" s="2" t="inlineStr">
        <is>
          <t>2025-03-11 ~ 2025-04-30</t>
        </is>
      </c>
      <c r="C46" s="2" t="n">
        <v>405702</v>
      </c>
      <c r="D46" s="2" t="n">
        <v>317261</v>
      </c>
      <c r="E46" s="3">
        <f>IF(OR(C46=0,D46="/"),"/",D46/C46)</f>
        <v/>
      </c>
      <c r="F46" s="2" t="inlineStr">
        <is>
          <t>20秒間記事を読む</t>
        </is>
      </c>
      <c r="G46" s="2" t="n">
        <v>120721</v>
      </c>
      <c r="H46" s="3">
        <f>IF(OR($C$46=0,G46="/"),"/",G46/$C$46)</f>
        <v/>
      </c>
      <c r="I46" s="2" t="n">
        <v>650544</v>
      </c>
      <c r="J46" s="3" t="n">
        <v>0.2384</v>
      </c>
      <c r="K46" s="3" t="n">
        <v>0.127</v>
      </c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inlineStr">
        <is>
          <t>30秒間ニュースを閲覧</t>
        </is>
      </c>
      <c r="G47" s="2" t="n">
        <v>82853</v>
      </c>
      <c r="H47" s="3">
        <f>IF(OR($C$46=0,G47="/"),"/",G47/$C$46)</f>
        <v/>
      </c>
      <c r="I47" s="2" t="n">
        <v>382362</v>
      </c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九宫格解密</t>
        </is>
      </c>
      <c r="B48" s="2" t="inlineStr">
        <is>
          <t>2025-03-06 ~ 2025-03-10</t>
        </is>
      </c>
      <c r="C48" s="2" t="n">
        <v>53827</v>
      </c>
      <c r="D48" s="2" t="n">
        <v>25801</v>
      </c>
      <c r="E48" s="3">
        <f>IF(OR(C48=0,D48="/"),"/",D48/C48)</f>
        <v/>
      </c>
      <c r="F48" s="2" t="inlineStr">
        <is>
          <t>30秒間記事を読む</t>
        </is>
      </c>
      <c r="G48" s="2" t="n">
        <v>6687</v>
      </c>
      <c r="H48" s="3">
        <f>IF(OR($C$48=0,G48="/"),"/",G48/$C$48)</f>
        <v/>
      </c>
      <c r="I48" s="2" t="n">
        <v>19721</v>
      </c>
      <c r="J48" s="3" t="n">
        <v>0.2532</v>
      </c>
      <c r="K48" s="3" t="inlineStr">
        <is>
          <t>/</t>
        </is>
      </c>
      <c r="L48" s="2" t="n"/>
      <c r="M48" s="2" t="n"/>
      <c r="N48" s="2" t="n"/>
      <c r="O48" s="2" t="n"/>
      <c r="P48" s="2" t="n"/>
      <c r="Q48" s="2" t="n"/>
    </row>
    <row r="49">
      <c r="A49" s="2" t="inlineStr">
        <is>
          <t>九宫格解密</t>
        </is>
      </c>
      <c r="B49" s="2" t="inlineStr">
        <is>
          <t>2025-02-28 ~ 2025-03-02</t>
        </is>
      </c>
      <c r="C49" s="2" t="n">
        <v>692</v>
      </c>
      <c r="D49" s="2" t="n">
        <v>525</v>
      </c>
      <c r="E49" s="3">
        <f>IF(OR(C49=0,D49="/"),"/",D49/C49)</f>
        <v/>
      </c>
      <c r="F49" s="2" t="inlineStr">
        <is>
          <t>広告を見る</t>
        </is>
      </c>
      <c r="G49" s="2" t="n">
        <v>315</v>
      </c>
      <c r="H49" s="3">
        <f>IF(OR($C$49=0,G49="/"),"/",G49/$C$49)</f>
        <v/>
      </c>
      <c r="I49" s="2" t="n">
        <v>1863</v>
      </c>
      <c r="J49" s="3" t="n">
        <v>0.2069</v>
      </c>
      <c r="K49" s="3" t="inlineStr">
        <is>
          <t>/</t>
        </is>
      </c>
      <c r="L49" s="2" t="n"/>
      <c r="M49" s="2" t="n"/>
      <c r="N49" s="2" t="n"/>
      <c r="O49" s="2" t="n"/>
      <c r="P49" s="2" t="n"/>
      <c r="Q49" s="2" t="n"/>
    </row>
    <row r="50">
      <c r="A50" s="2" t="inlineStr">
        <is>
          <t>幸运翻牌</t>
        </is>
      </c>
      <c r="B50" s="2" t="inlineStr">
        <is>
          <t>2025-02-17 ~ 2025-02-19</t>
        </is>
      </c>
      <c r="C50" s="2" t="n">
        <v>2</v>
      </c>
      <c r="D50" s="2" t="inlineStr">
        <is>
          <t>/</t>
        </is>
      </c>
      <c r="E50" s="3">
        <f>IF(OR(C50=0,D50="/"),"/",D50/C50)</f>
        <v/>
      </c>
      <c r="F50" s="2" t="inlineStr">
        <is>
          <t>/</t>
        </is>
      </c>
      <c r="G50" s="2" t="inlineStr">
        <is>
          <t>/</t>
        </is>
      </c>
      <c r="H50" s="2" t="n"/>
      <c r="I50" s="2" t="inlineStr">
        <is>
          <t>/</t>
        </is>
      </c>
      <c r="J50" s="3" t="inlineStr">
        <is>
          <t>/</t>
        </is>
      </c>
      <c r="K50" s="3" t="inlineStr">
        <is>
          <t>/</t>
        </is>
      </c>
      <c r="L50" s="2" t="n"/>
      <c r="M50" s="2" t="n"/>
      <c r="N50" s="2" t="n"/>
      <c r="O50" s="2" t="n"/>
      <c r="P50" s="2" t="n"/>
      <c r="Q50" s="2" t="n"/>
    </row>
    <row r="51">
      <c r="A51" s="2" t="inlineStr">
        <is>
          <t>九宫格解密</t>
        </is>
      </c>
      <c r="B51" s="2" t="inlineStr">
        <is>
          <t>2025-02-17 ~ 2025-02-19</t>
        </is>
      </c>
      <c r="C51" s="2" t="n">
        <v>1</v>
      </c>
      <c r="D51" s="2" t="inlineStr">
        <is>
          <t>/</t>
        </is>
      </c>
      <c r="E51" s="3">
        <f>IF(OR(C51=0,D51="/"),"/",D51/C51)</f>
        <v/>
      </c>
      <c r="F51" s="2" t="inlineStr">
        <is>
          <t>チェックイン</t>
        </is>
      </c>
      <c r="G51" s="2" t="n">
        <v>1</v>
      </c>
      <c r="H51" s="3">
        <f>IF(OR($C$51=0,G51="/"),"/",G51/$C$51)</f>
        <v/>
      </c>
      <c r="I51" s="2" t="n">
        <v>1</v>
      </c>
      <c r="J51" s="3" t="inlineStr">
        <is>
          <t>/</t>
        </is>
      </c>
      <c r="K51" s="3" t="inlineStr">
        <is>
          <t>/</t>
        </is>
      </c>
      <c r="L51" s="2" t="n"/>
      <c r="M51" s="2" t="n"/>
      <c r="N51" s="2" t="n"/>
      <c r="O51" s="2" t="n"/>
      <c r="P51" s="2" t="n"/>
      <c r="Q51" s="2" t="n"/>
    </row>
    <row r="52">
      <c r="A52" s="2" t="inlineStr">
        <is>
          <t>九宫格解密</t>
        </is>
      </c>
      <c r="B52" s="2" t="inlineStr">
        <is>
          <t>2025-02-14 ~ 2025-02-16</t>
        </is>
      </c>
      <c r="C52" s="2" t="n">
        <v>2690</v>
      </c>
      <c r="D52" s="2" t="n">
        <v>537</v>
      </c>
      <c r="E52" s="3">
        <f>IF(OR(C52=0,D52="/"),"/",D52/C52)</f>
        <v/>
      </c>
      <c r="F52" s="2" t="inlineStr">
        <is>
          <t>チェックイン</t>
        </is>
      </c>
      <c r="G52" s="2" t="n">
        <v>22747</v>
      </c>
      <c r="H52" s="3">
        <f>IF(OR($C$52=0,G52="/"),"/",G52/$C$52)</f>
        <v/>
      </c>
      <c r="I52" s="2" t="n">
        <v>22747</v>
      </c>
      <c r="J52" s="3" t="n">
        <v>0.0332</v>
      </c>
      <c r="K52" s="3" t="inlineStr">
        <is>
          <t>/</t>
        </is>
      </c>
      <c r="L52" s="2" t="n"/>
      <c r="M52" s="2" t="n"/>
      <c r="N52" s="2" t="n"/>
      <c r="O52" s="2" t="n"/>
      <c r="P52" s="2" t="n"/>
      <c r="Q52" s="2" t="n"/>
    </row>
    <row r="53">
      <c r="A53" s="2" t="inlineStr">
        <is>
          <t>幸运翻牌</t>
        </is>
      </c>
      <c r="B53" s="2" t="inlineStr">
        <is>
          <t>2025-02-08 ~ 2025-02-09</t>
        </is>
      </c>
      <c r="C53" s="2" t="n">
        <v>5</v>
      </c>
      <c r="D53" s="2" t="n">
        <v>4</v>
      </c>
      <c r="E53" s="3">
        <f>IF(OR(C53=0,D53="/"),"/",D53/C53)</f>
        <v/>
      </c>
      <c r="F53" s="2" t="inlineStr">
        <is>
          <t>Favorite 3 shows</t>
        </is>
      </c>
      <c r="G53" s="2" t="n">
        <v>3</v>
      </c>
      <c r="H53" s="3">
        <f>IF(OR($C$53=0,G53="/"),"/",G53/$C$53)</f>
        <v/>
      </c>
      <c r="I53" s="2" t="n">
        <v>4</v>
      </c>
      <c r="J53" s="3" t="inlineStr">
        <is>
          <t>/</t>
        </is>
      </c>
      <c r="K53" s="3" t="inlineStr">
        <is>
          <t>/</t>
        </is>
      </c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inlineStr">
        <is>
          <t>Watch ads</t>
        </is>
      </c>
      <c r="G54" s="2" t="n">
        <v>2</v>
      </c>
      <c r="H54" s="3">
        <f>IF(OR($C$53=0,G54="/"),"/",G54/$C$53)</f>
        <v/>
      </c>
      <c r="I54" s="2" t="n">
        <v>2</v>
      </c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inlineStr">
        <is>
          <t>幸运翻牌</t>
        </is>
      </c>
      <c r="B55" s="2" t="inlineStr">
        <is>
          <t>2025-02-08 ~ 2025-02-15</t>
        </is>
      </c>
      <c r="C55" s="2" t="n">
        <v>132024</v>
      </c>
      <c r="D55" s="2" t="n">
        <v>74202</v>
      </c>
      <c r="E55" s="3">
        <f>IF(OR(C55=0,D55="/"),"/",D55/C55)</f>
        <v/>
      </c>
      <c r="F55" s="2" t="inlineStr">
        <is>
          <t>Watch 20 min daily</t>
        </is>
      </c>
      <c r="G55" s="2" t="n">
        <v>7416</v>
      </c>
      <c r="H55" s="3">
        <f>IF(OR($C$55=0,G55="/"),"/",G55/$C$55)</f>
        <v/>
      </c>
      <c r="I55" s="2" t="n">
        <v>14002</v>
      </c>
      <c r="J55" s="3" t="n">
        <v>0.2309</v>
      </c>
      <c r="K55" s="3" t="inlineStr">
        <is>
          <t>/</t>
        </is>
      </c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inlineStr">
        <is>
          <t>Unlock 5 episodes daily</t>
        </is>
      </c>
      <c r="G56" s="2" t="n">
        <v>4922</v>
      </c>
      <c r="H56" s="3">
        <f>IF(OR($C$55=0,G56="/"),"/",G56/$C$55)</f>
        <v/>
      </c>
      <c r="I56" s="2" t="n">
        <v>15247</v>
      </c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inlineStr">
        <is>
          <t>Top-up</t>
        </is>
      </c>
      <c r="G57" s="2" t="n">
        <v>244</v>
      </c>
      <c r="H57" s="3">
        <f>IF(OR($C$55=0,G57="/"),"/",G57/$C$55)</f>
        <v/>
      </c>
      <c r="I57" s="2" t="n">
        <v>378</v>
      </c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inlineStr">
        <is>
          <t>Favorite 3 shows</t>
        </is>
      </c>
      <c r="G58" s="2" t="n">
        <v>1772</v>
      </c>
      <c r="H58" s="3">
        <f>IF(OR($C$55=0,G58="/"),"/",G58/$C$55)</f>
        <v/>
      </c>
      <c r="I58" s="2" t="n">
        <v>2551</v>
      </c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inlineStr">
        <is>
          <t>Watch ads</t>
        </is>
      </c>
      <c r="G59" s="2" t="n">
        <v>15102</v>
      </c>
      <c r="H59" s="3">
        <f>IF(OR($C$55=0,G59="/"),"/",G59/$C$55)</f>
        <v/>
      </c>
      <c r="I59" s="2" t="n">
        <v>39772</v>
      </c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inlineStr">
        <is>
          <t>九宫格解密</t>
        </is>
      </c>
      <c r="B60" s="2" t="inlineStr">
        <is>
          <t>2025-02-06 ~ 2025-02-27</t>
        </is>
      </c>
      <c r="C60" s="2" t="n">
        <v>15</v>
      </c>
      <c r="D60" s="2" t="n">
        <v>12</v>
      </c>
      <c r="E60" s="3">
        <f>IF(OR(C60=0,D60="/"),"/",D60/C60)</f>
        <v/>
      </c>
      <c r="F60" s="2" t="inlineStr">
        <is>
          <t>K币/或广告解锁2集，剧id=1640</t>
        </is>
      </c>
      <c r="G60" s="2" t="n">
        <v>2</v>
      </c>
      <c r="H60" s="3">
        <f>IF(OR($C$60=0,G60="/"),"/",G60/$C$60)</f>
        <v/>
      </c>
      <c r="I60" s="2" t="n">
        <v>2</v>
      </c>
      <c r="J60" s="3" t="n">
        <v>0.625</v>
      </c>
      <c r="K60" s="3" t="inlineStr">
        <is>
          <t>/</t>
        </is>
      </c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inlineStr">
        <is>
          <t>观看2个广告</t>
        </is>
      </c>
      <c r="G61" s="2" t="n">
        <v>2</v>
      </c>
      <c r="H61" s="3">
        <f>IF(OR($C$60=0,G61="/"),"/",G61/$C$60)</f>
        <v/>
      </c>
      <c r="I61" s="2" t="n">
        <v>2</v>
      </c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inlineStr">
        <is>
          <t>充值2次</t>
        </is>
      </c>
      <c r="G62" s="2" t="n">
        <v>1</v>
      </c>
      <c r="H62" s="3">
        <f>IF(OR($C$60=0,G62="/"),"/",G62/$C$60)</f>
        <v/>
      </c>
      <c r="I62" s="2" t="n">
        <v>1</v>
      </c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inlineStr">
        <is>
          <t>在APP内观看时长，累积30s</t>
        </is>
      </c>
      <c r="G63" s="2" t="n">
        <v>3</v>
      </c>
      <c r="H63" s="3">
        <f>IF(OR($C$60=0,G63="/"),"/",G63/$C$60)</f>
        <v/>
      </c>
      <c r="I63" s="2" t="n">
        <v>7</v>
      </c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inlineStr">
        <is>
          <t>九宫格解密</t>
        </is>
      </c>
      <c r="B64" s="2" t="inlineStr">
        <is>
          <t>2025-02-06 ~ 2025-02-27</t>
        </is>
      </c>
      <c r="C64" s="2" t="n">
        <v>2</v>
      </c>
      <c r="D64" s="2" t="n">
        <v>1</v>
      </c>
      <c r="E64" s="3">
        <f>IF(OR(C64=0,D64="/"),"/",D64/C64)</f>
        <v/>
      </c>
      <c r="F64" s="2" t="inlineStr">
        <is>
          <t>/</t>
        </is>
      </c>
      <c r="G64" s="2" t="inlineStr">
        <is>
          <t>/</t>
        </is>
      </c>
      <c r="H64" s="2" t="n"/>
      <c r="I64" s="2" t="inlineStr">
        <is>
          <t>/</t>
        </is>
      </c>
      <c r="J64" s="3" t="inlineStr">
        <is>
          <t>/</t>
        </is>
      </c>
      <c r="K64" s="3" t="inlineStr">
        <is>
          <t>/</t>
        </is>
      </c>
      <c r="L64" s="2" t="n"/>
      <c r="M64" s="2" t="n"/>
      <c r="N64" s="2" t="n"/>
      <c r="O64" s="2" t="n"/>
      <c r="P64" s="2" t="n"/>
      <c r="Q6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2026-06-16T08:17:04Z</dcterms:created>
  <dcterms:modified xmlns:dcterms="http://purl.org/dc/terms/" xmlns:xsi="http://www.w3.org/2001/XMLSchema-instance" xsi:type="dcterms:W3CDTF">2026-06-16T08:17:04Z</dcterms:modified>
</cp:coreProperties>
</file>
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活动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8" customWidth="1" min="3" max="3"/>
    <col width="20" customWidth="1" min="4" max="4"/>
    <col width="10" customWidth="1" min="5" max="5"/>
    <col width="40" customWidth="1" min="6" max="6"/>
    <col width="12" customWidth="1" min="7" max="7"/>
    <col width="10" customWidth="1" min="8" max="8"/>
    <col width="12" customWidth="1" min="9" max="9"/>
    <col width="10" customWidth="1" min="10" max="10"/>
    <col width="10" customWidth="1" min="11" max="11"/>
    <col width="14" customWidth="1" min="12" max="12"/>
    <col width="12" customWidth="1" min="13" max="13"/>
    <col width="14" customWidth="1" min="14" max="14"/>
    <col width="12" customWidth="1" min="15" max="15"/>
    <col width="14" customWidth="1" min="16" max="16"/>
    <col width="12" customWidth="1" min="17" max="17"/>
  </cols>
  <sheetData>
    <row r="1">
      <c r="A1" s="1" t="inlineStr">
        <is>
          <t>活动名称</t>
        </is>
      </c>
      <c r="B1" s="1" t="inlineStr">
        <is>
          <t>活动时间</t>
        </is>
      </c>
      <c r="C1" s="1" t="inlineStr">
        <is>
          <t>UV</t>
        </is>
      </c>
      <c r="D1" s="1" t="inlineStr">
        <is>
          <t>点击活动主按钮人数</t>
        </is>
      </c>
      <c r="E1" s="1" t="inlineStr">
        <is>
          <t>活动参与率</t>
        </is>
      </c>
      <c r="F1" s="1" t="inlineStr">
        <is>
          <t>任务名称</t>
        </is>
      </c>
      <c r="G1" s="1" t="inlineStr">
        <is>
          <t>完成任务人数</t>
        </is>
      </c>
      <c r="H1" s="1" t="inlineStr">
        <is>
          <t>任务完成率</t>
        </is>
      </c>
      <c r="I1" s="1" t="inlineStr">
        <is>
          <t>完成任务次数</t>
        </is>
      </c>
      <c r="J1" s="1" t="inlineStr">
        <is>
          <t>次留</t>
        </is>
      </c>
      <c r="K1" s="1" t="inlineStr">
        <is>
          <t>7日留</t>
        </is>
      </c>
      <c r="L1" s="1" t="inlineStr">
        <is>
          <t>回收金币</t>
        </is>
      </c>
      <c r="M1" s="1" t="inlineStr">
        <is>
          <t>金币回收比例</t>
        </is>
      </c>
      <c r="N1" s="1" t="inlineStr">
        <is>
          <t>投放金币人数</t>
        </is>
      </c>
      <c r="O1" s="1" t="inlineStr">
        <is>
          <t>投放金币率</t>
        </is>
      </c>
      <c r="P1" s="1" t="inlineStr">
        <is>
          <t>领取金币人数</t>
        </is>
      </c>
      <c r="Q1" s="1" t="inlineStr">
        <is>
          <t>领取金币率</t>
        </is>
      </c>
    </row>
    <row r="2">
      <c r="A2" s="2" t="inlineStr">
        <is>
          <t>骰子大富翁</t>
        </is>
      </c>
      <c r="B2" s="2" t="inlineStr">
        <is>
          <t>2026-06-11 ~ 2026-06-27</t>
        </is>
      </c>
      <c r="C2" s="2" t="n">
        <v>93469</v>
      </c>
      <c r="D2" s="2" t="n">
        <v>29709</v>
      </c>
      <c r="E2" s="3">
        <f>IF(OR(C2=0,D2="/"),"/",D2/C2)</f>
        <v/>
      </c>
      <c r="F2" s="2" t="inlineStr">
        <is>
          <t>Daily Check-In</t>
        </is>
      </c>
      <c r="G2" s="2" t="n">
        <v>4343</v>
      </c>
      <c r="H2" s="3">
        <f>IF(OR($C$2=0,G2="/"),"/",G2/$C$2)</f>
        <v/>
      </c>
      <c r="I2" s="2" t="n">
        <v>5615</v>
      </c>
      <c r="J2" s="3" t="n">
        <v>0.09470000000000001</v>
      </c>
      <c r="K2" s="3" t="inlineStr">
        <is>
          <t>/</t>
        </is>
      </c>
      <c r="L2" s="2" t="n"/>
      <c r="M2" s="2" t="n"/>
      <c r="N2" s="2" t="n"/>
      <c r="O2" s="2" t="n"/>
      <c r="P2" s="2" t="n"/>
      <c r="Q2" s="2" t="n"/>
    </row>
    <row r="3">
      <c r="A3" s="2" t="n"/>
      <c r="B3" s="2" t="n"/>
      <c r="C3" s="2" t="n"/>
      <c r="D3" s="2" t="n"/>
      <c r="E3" s="2" t="n"/>
      <c r="F3" s="2" t="inlineStr">
        <is>
          <t>Watch 2 mins of dramas</t>
        </is>
      </c>
      <c r="G3" s="2" t="n">
        <v>1533</v>
      </c>
      <c r="H3" s="3">
        <f>IF(OR($C$2=0,G3="/"),"/",G3/$C$2)</f>
        <v/>
      </c>
      <c r="I3" s="2" t="n">
        <v>2228</v>
      </c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2" t="n"/>
      <c r="B4" s="2" t="n"/>
      <c r="C4" s="2" t="n"/>
      <c r="D4" s="2" t="n"/>
      <c r="E4" s="2" t="n"/>
      <c r="F4" s="2" t="inlineStr">
        <is>
          <t>Watch 2 videos</t>
        </is>
      </c>
      <c r="G4" s="2" t="n">
        <v>858</v>
      </c>
      <c r="H4" s="3">
        <f>IF(OR($C$2=0,G4="/"),"/",G4/$C$2)</f>
        <v/>
      </c>
      <c r="I4" s="2" t="n">
        <v>3602</v>
      </c>
      <c r="J4" s="2" t="n"/>
      <c r="K4" s="2" t="n"/>
      <c r="L4" s="2" t="n"/>
      <c r="M4" s="2" t="n"/>
      <c r="N4" s="2" t="n"/>
      <c r="O4" s="2" t="n"/>
      <c r="P4" s="2" t="n"/>
      <c r="Q4" s="2" t="n"/>
    </row>
    <row r="5">
      <c r="A5" s="2" t="n"/>
      <c r="B5" s="2" t="n"/>
      <c r="C5" s="2" t="n"/>
      <c r="D5" s="2" t="n"/>
      <c r="E5" s="2" t="n"/>
      <c r="F5" s="2" t="inlineStr">
        <is>
          <t>Pay 2 USD</t>
        </is>
      </c>
      <c r="G5" s="2" t="n">
        <v>5</v>
      </c>
      <c r="H5" s="3">
        <f>IF(OR($C$2=0,G5="/"),"/",G5/$C$2)</f>
        <v/>
      </c>
      <c r="I5" s="2" t="n">
        <v>11</v>
      </c>
      <c r="J5" s="2" t="n"/>
      <c r="K5" s="2" t="n"/>
      <c r="L5" s="2" t="n"/>
      <c r="M5" s="2" t="n"/>
      <c r="N5" s="2" t="n"/>
      <c r="O5" s="2" t="n"/>
      <c r="P5" s="2" t="n"/>
      <c r="Q5" s="2" t="n"/>
    </row>
    <row r="6">
      <c r="A6" s="2" t="n"/>
      <c r="B6" s="2" t="n"/>
      <c r="C6" s="2" t="n"/>
      <c r="D6" s="2" t="n"/>
      <c r="E6" s="2" t="n"/>
      <c r="F6" s="2" t="inlineStr">
        <is>
          <t>Read 2 articles</t>
        </is>
      </c>
      <c r="G6" s="2" t="n">
        <v>566</v>
      </c>
      <c r="H6" s="3">
        <f>IF(OR($C$2=0,G6="/"),"/",G6/$C$2)</f>
        <v/>
      </c>
      <c r="I6" s="2" t="n">
        <v>910</v>
      </c>
      <c r="J6" s="2" t="n"/>
      <c r="K6" s="2" t="n"/>
      <c r="L6" s="2" t="n"/>
      <c r="M6" s="2" t="n"/>
      <c r="N6" s="2" t="n"/>
      <c r="O6" s="2" t="n"/>
      <c r="P6" s="2" t="n"/>
      <c r="Q6" s="2" t="n"/>
    </row>
    <row r="7">
      <c r="A7" s="2" t="inlineStr">
        <is>
          <t>骰子大富翁</t>
        </is>
      </c>
      <c r="B7" s="2" t="inlineStr">
        <is>
          <t>2026-06-11 ~ 2026-06-27</t>
        </is>
      </c>
      <c r="C7" s="2" t="n">
        <v>73419</v>
      </c>
      <c r="D7" s="2" t="n">
        <v>16491</v>
      </c>
      <c r="E7" s="3">
        <f>IF(OR(C7=0,D7="/"),"/",D7/C7)</f>
        <v/>
      </c>
      <c r="F7" s="2" t="inlineStr">
        <is>
          <t>Daily Check-In</t>
        </is>
      </c>
      <c r="G7" s="2" t="n">
        <v>4975</v>
      </c>
      <c r="H7" s="3">
        <f>IF(OR($C$7=0,G7="/"),"/",G7/$C$7)</f>
        <v/>
      </c>
      <c r="I7" s="2" t="n">
        <v>5699</v>
      </c>
      <c r="J7" s="3" t="n">
        <v>0.0673</v>
      </c>
      <c r="K7" s="3" t="inlineStr">
        <is>
          <t>/</t>
        </is>
      </c>
      <c r="L7" s="2" t="n"/>
      <c r="M7" s="2" t="n"/>
      <c r="N7" s="2" t="n"/>
      <c r="O7" s="2" t="n"/>
      <c r="P7" s="2" t="n"/>
      <c r="Q7" s="2" t="n"/>
    </row>
    <row r="8">
      <c r="A8" s="2" t="n"/>
      <c r="B8" s="2" t="n"/>
      <c r="C8" s="2" t="n"/>
      <c r="D8" s="2" t="n"/>
      <c r="E8" s="2" t="n"/>
      <c r="F8" s="2" t="inlineStr">
        <is>
          <t>Watch 2 mins of dramas</t>
        </is>
      </c>
      <c r="G8" s="2" t="n">
        <v>1466</v>
      </c>
      <c r="H8" s="3">
        <f>IF(OR($C$7=0,G8="/"),"/",G8/$C$7)</f>
        <v/>
      </c>
      <c r="I8" s="2" t="n">
        <v>1755</v>
      </c>
      <c r="J8" s="2" t="n"/>
      <c r="K8" s="2" t="n"/>
      <c r="L8" s="2" t="n"/>
      <c r="M8" s="2" t="n"/>
      <c r="N8" s="2" t="n"/>
      <c r="O8" s="2" t="n"/>
      <c r="P8" s="2" t="n"/>
      <c r="Q8" s="2" t="n"/>
    </row>
    <row r="9">
      <c r="A9" s="2" t="n"/>
      <c r="B9" s="2" t="n"/>
      <c r="C9" s="2" t="n"/>
      <c r="D9" s="2" t="n"/>
      <c r="E9" s="2" t="n"/>
      <c r="F9" s="2" t="inlineStr">
        <is>
          <t>Watch 1 video</t>
        </is>
      </c>
      <c r="G9" s="2" t="n">
        <v>1267</v>
      </c>
      <c r="H9" s="3">
        <f>IF(OR($C$7=0,G9="/"),"/",G9/$C$7)</f>
        <v/>
      </c>
      <c r="I9" s="2" t="n">
        <v>4152</v>
      </c>
      <c r="J9" s="2" t="n"/>
      <c r="K9" s="2" t="n"/>
      <c r="L9" s="2" t="n"/>
      <c r="M9" s="2" t="n"/>
      <c r="N9" s="2" t="n"/>
      <c r="O9" s="2" t="n"/>
      <c r="P9" s="2" t="n"/>
      <c r="Q9" s="2" t="n"/>
    </row>
    <row r="10">
      <c r="A10" s="2" t="n"/>
      <c r="B10" s="2" t="n"/>
      <c r="C10" s="2" t="n"/>
      <c r="D10" s="2" t="n"/>
      <c r="E10" s="2" t="n"/>
      <c r="F10" s="2" t="inlineStr">
        <is>
          <t>Pay 0.1 USD</t>
        </is>
      </c>
      <c r="G10" s="2" t="n">
        <v>18</v>
      </c>
      <c r="H10" s="3">
        <f>IF(OR($C$7=0,G10="/"),"/",G10/$C$7)</f>
        <v/>
      </c>
      <c r="I10" s="2" t="n">
        <v>253</v>
      </c>
      <c r="J10" s="2" t="n"/>
      <c r="K10" s="2" t="n"/>
      <c r="L10" s="2" t="n"/>
      <c r="M10" s="2" t="n"/>
      <c r="N10" s="2" t="n"/>
      <c r="O10" s="2" t="n"/>
      <c r="P10" s="2" t="n"/>
      <c r="Q10" s="2" t="n"/>
    </row>
    <row r="11">
      <c r="A11" s="2" t="inlineStr">
        <is>
          <t>激励养成</t>
        </is>
      </c>
      <c r="B11" s="2" t="inlineStr">
        <is>
          <t>2026-06-03 ~ 2026-06-10</t>
        </is>
      </c>
      <c r="C11" s="2" t="n">
        <v>104707</v>
      </c>
      <c r="D11" s="2" t="n">
        <v>31899</v>
      </c>
      <c r="E11" s="3">
        <f>IF(OR(C11=0,D11="/"),"/",D11/C11)</f>
        <v/>
      </c>
      <c r="F11" s="2" t="inlineStr">
        <is>
          <t>Daily Check-In</t>
        </is>
      </c>
      <c r="G11" s="2" t="n">
        <v>14673</v>
      </c>
      <c r="H11" s="3">
        <f>IF(OR($C$11=0,G11="/"),"/",G11/$C$11)</f>
        <v/>
      </c>
      <c r="I11" s="2" t="n">
        <v>23442</v>
      </c>
      <c r="J11" s="3" t="n">
        <v>0.1405</v>
      </c>
      <c r="K11" s="3" t="n">
        <v>0.0066</v>
      </c>
      <c r="L11" s="2" t="n"/>
      <c r="M11" s="2" t="n"/>
      <c r="N11" s="2" t="n"/>
      <c r="O11" s="2" t="n"/>
      <c r="P11" s="2" t="n"/>
      <c r="Q11" s="2" t="n"/>
    </row>
    <row r="12">
      <c r="A12" s="2" t="n"/>
      <c r="B12" s="2" t="n"/>
      <c r="C12" s="2" t="n"/>
      <c r="D12" s="2" t="n">
        <v>101</v>
      </c>
      <c r="E12" s="3">
        <f>IF(OR(C11=0,D12=0),"/",D12/C11)</f>
        <v/>
      </c>
      <c r="F12" s="2" t="inlineStr">
        <is>
          <t>Watch 3 mins of dramas</t>
        </is>
      </c>
      <c r="G12" s="2" t="n">
        <v>8495</v>
      </c>
      <c r="H12" s="3">
        <f>IF(OR($C$11=0,G12="/"),"/",G12/$C$11)</f>
        <v/>
      </c>
      <c r="I12" s="2" t="n">
        <v>14081</v>
      </c>
      <c r="J12" s="2" t="n"/>
      <c r="K12" s="2" t="n"/>
      <c r="L12" s="2" t="n"/>
      <c r="M12" s="2" t="n"/>
      <c r="N12" s="2" t="n"/>
      <c r="O12" s="2" t="n"/>
      <c r="P12" s="2" t="n"/>
      <c r="Q12" s="2" t="n"/>
    </row>
    <row r="13">
      <c r="A13" s="2" t="n"/>
      <c r="B13" s="2" t="n"/>
      <c r="C13" s="2" t="n"/>
      <c r="D13" s="2" t="n"/>
      <c r="E13" s="2" t="n"/>
      <c r="F13" s="2" t="inlineStr">
        <is>
          <t>Watch 3 videos</t>
        </is>
      </c>
      <c r="G13" s="2" t="n">
        <v>4578</v>
      </c>
      <c r="H13" s="3">
        <f>IF(OR($C$11=0,G13="/"),"/",G13/$C$11)</f>
        <v/>
      </c>
      <c r="I13" s="2" t="n">
        <v>20271</v>
      </c>
      <c r="J13" s="2" t="n"/>
      <c r="K13" s="2" t="n"/>
      <c r="L13" s="2" t="n"/>
      <c r="M13" s="2" t="n"/>
      <c r="N13" s="2" t="n"/>
      <c r="O13" s="2" t="n"/>
      <c r="P13" s="2" t="n"/>
      <c r="Q13" s="2" t="n"/>
    </row>
    <row r="14">
      <c r="A14" s="2" t="n"/>
      <c r="B14" s="2" t="n"/>
      <c r="C14" s="2" t="n"/>
      <c r="D14" s="2" t="n"/>
      <c r="E14" s="2" t="n"/>
      <c r="F14" s="2" t="inlineStr">
        <is>
          <t>Pay $2</t>
        </is>
      </c>
      <c r="G14" s="2" t="n">
        <v>44</v>
      </c>
      <c r="H14" s="3">
        <f>IF(OR($C$11=0,G14="/"),"/",G14/$C$11)</f>
        <v/>
      </c>
      <c r="I14" s="2" t="n">
        <v>47</v>
      </c>
      <c r="J14" s="2" t="n"/>
      <c r="K14" s="2" t="n"/>
      <c r="L14" s="2" t="n"/>
      <c r="M14" s="2" t="n"/>
      <c r="N14" s="2" t="n"/>
      <c r="O14" s="2" t="n"/>
      <c r="P14" s="2" t="n"/>
      <c r="Q14" s="2" t="n"/>
    </row>
    <row r="15">
      <c r="A15" s="2" t="n"/>
      <c r="B15" s="2" t="n"/>
      <c r="C15" s="2" t="n"/>
      <c r="D15" s="2" t="n"/>
      <c r="E15" s="2" t="n"/>
      <c r="F15" s="2" t="inlineStr">
        <is>
          <t>/</t>
        </is>
      </c>
      <c r="G15" s="2" t="inlineStr">
        <is>
          <t>/</t>
        </is>
      </c>
      <c r="H15" s="2" t="n"/>
      <c r="I15" s="2" t="inlineStr">
        <is>
          <t>/</t>
        </is>
      </c>
      <c r="J15" s="2" t="n"/>
      <c r="K15" s="2" t="n"/>
      <c r="L15" s="2" t="n"/>
      <c r="M15" s="2" t="n"/>
      <c r="N15" s="2" t="n"/>
      <c r="O15" s="2" t="n"/>
      <c r="P15" s="2" t="n"/>
      <c r="Q15" s="2" t="n"/>
    </row>
    <row r="16">
      <c r="A16" s="2" t="inlineStr">
        <is>
          <t>激励养成</t>
        </is>
      </c>
      <c r="B16" s="2" t="inlineStr">
        <is>
          <t>2026-05-25 ~ 2026-06-09</t>
        </is>
      </c>
      <c r="C16" s="2" t="n">
        <v>99444</v>
      </c>
      <c r="D16" s="2" t="n">
        <v>15908</v>
      </c>
      <c r="E16" s="3">
        <f>IF(OR(C16=0,D16="/"),"/",D16/C16)</f>
        <v/>
      </c>
      <c r="F16" s="2" t="inlineStr">
        <is>
          <t>Daily Check-In</t>
        </is>
      </c>
      <c r="G16" s="2" t="n">
        <v>5128</v>
      </c>
      <c r="H16" s="3">
        <f>IF(OR($C$16=0,G16="/"),"/",G16/$C$16)</f>
        <v/>
      </c>
      <c r="I16" s="2" t="n">
        <v>7469</v>
      </c>
      <c r="J16" s="3" t="n">
        <v>0.09880000000000001</v>
      </c>
      <c r="K16" s="3" t="n">
        <v>0.0378</v>
      </c>
      <c r="L16" s="2" t="n"/>
      <c r="M16" s="2" t="n"/>
      <c r="N16" s="2" t="n"/>
      <c r="O16" s="2" t="n"/>
      <c r="P16" s="2" t="n"/>
      <c r="Q16" s="2" t="n"/>
    </row>
    <row r="17">
      <c r="A17" s="2" t="n"/>
      <c r="B17" s="2" t="n"/>
      <c r="C17" s="2" t="n"/>
      <c r="D17" s="2" t="n">
        <v>41</v>
      </c>
      <c r="E17" s="3">
        <f>IF(OR(C16=0,D17=0),"/",D17/C16)</f>
        <v/>
      </c>
      <c r="F17" s="2" t="inlineStr">
        <is>
          <t>Watch 3 mins of dramas</t>
        </is>
      </c>
      <c r="G17" s="2" t="n">
        <v>1774</v>
      </c>
      <c r="H17" s="3">
        <f>IF(OR($C$16=0,G17="/"),"/",G17/$C$16)</f>
        <v/>
      </c>
      <c r="I17" s="2" t="n">
        <v>2940</v>
      </c>
      <c r="J17" s="2" t="n"/>
      <c r="K17" s="2" t="n"/>
      <c r="L17" s="2" t="n"/>
      <c r="M17" s="2" t="n"/>
      <c r="N17" s="2" t="n"/>
      <c r="O17" s="2" t="n"/>
      <c r="P17" s="2" t="n"/>
      <c r="Q17" s="2" t="n"/>
    </row>
    <row r="18">
      <c r="A18" s="2" t="n"/>
      <c r="B18" s="2" t="n"/>
      <c r="C18" s="2" t="n"/>
      <c r="D18" s="2" t="n"/>
      <c r="E18" s="2" t="n"/>
      <c r="F18" s="2" t="inlineStr">
        <is>
          <t>Pay 1 USD</t>
        </is>
      </c>
      <c r="G18" s="2" t="n">
        <v>12</v>
      </c>
      <c r="H18" s="3">
        <f>IF(OR($C$16=0,G18="/"),"/",G18/$C$16)</f>
        <v/>
      </c>
      <c r="I18" s="2" t="n">
        <v>16</v>
      </c>
      <c r="J18" s="2" t="n"/>
      <c r="K18" s="2" t="n"/>
      <c r="L18" s="2" t="n"/>
      <c r="M18" s="2" t="n"/>
      <c r="N18" s="2" t="n"/>
      <c r="O18" s="2" t="n"/>
      <c r="P18" s="2" t="n"/>
      <c r="Q18" s="2" t="n"/>
    </row>
    <row r="19">
      <c r="A19" s="2" t="n"/>
      <c r="B19" s="2" t="n"/>
      <c r="C19" s="2" t="n"/>
      <c r="D19" s="2" t="n"/>
      <c r="E19" s="2" t="n"/>
      <c r="F19" s="2" t="inlineStr">
        <is>
          <t>Watch 2 videos</t>
        </is>
      </c>
      <c r="G19" s="2" t="n">
        <v>1156</v>
      </c>
      <c r="H19" s="3">
        <f>IF(OR($C$16=0,G19="/"),"/",G19/$C$16)</f>
        <v/>
      </c>
      <c r="I19" s="2" t="n">
        <v>4491</v>
      </c>
      <c r="J19" s="2" t="n"/>
      <c r="K19" s="2" t="n"/>
      <c r="L19" s="2" t="n"/>
      <c r="M19" s="2" t="n"/>
      <c r="N19" s="2" t="n"/>
      <c r="O19" s="2" t="n"/>
      <c r="P19" s="2" t="n"/>
      <c r="Q19" s="2" t="n"/>
    </row>
    <row r="20">
      <c r="A20" s="2" t="n"/>
      <c r="B20" s="2" t="n"/>
      <c r="C20" s="2" t="n"/>
      <c r="D20" s="2" t="n"/>
      <c r="E20" s="2" t="n"/>
      <c r="F20" s="2" t="inlineStr">
        <is>
          <t>/</t>
        </is>
      </c>
      <c r="G20" s="2" t="inlineStr">
        <is>
          <t>/</t>
        </is>
      </c>
      <c r="H20" s="2" t="n"/>
      <c r="I20" s="2" t="inlineStr">
        <is>
          <t>/</t>
        </is>
      </c>
      <c r="J20" s="2" t="n"/>
      <c r="K20" s="2" t="n"/>
      <c r="L20" s="2" t="n"/>
      <c r="M20" s="2" t="n"/>
      <c r="N20" s="2" t="n"/>
      <c r="O20" s="2" t="n"/>
      <c r="P20" s="2" t="n"/>
      <c r="Q20" s="2" t="n"/>
    </row>
    <row r="21">
      <c r="A21" s="2" t="inlineStr">
        <is>
          <t>激励养成</t>
        </is>
      </c>
      <c r="B21" s="2" t="inlineStr">
        <is>
          <t>2026-05-21 ~ 2026-05-31</t>
        </is>
      </c>
      <c r="C21" s="2" t="n">
        <v>4660</v>
      </c>
      <c r="D21" s="2" t="n">
        <v>1501</v>
      </c>
      <c r="E21" s="3">
        <f>IF(OR(C21=0,D21="/"),"/",D21/C21)</f>
        <v/>
      </c>
      <c r="F21" s="2" t="inlineStr">
        <is>
          <t>Daily Check-In</t>
        </is>
      </c>
      <c r="G21" s="2" t="n">
        <v>629</v>
      </c>
      <c r="H21" s="3">
        <f>IF(OR($C$21=0,G21="/"),"/",G21/$C$21)</f>
        <v/>
      </c>
      <c r="I21" s="2" t="n">
        <v>900</v>
      </c>
      <c r="J21" s="3" t="n">
        <v>0.1755</v>
      </c>
      <c r="K21" s="3" t="n">
        <v>0.04969999999999999</v>
      </c>
      <c r="L21" s="2" t="n"/>
      <c r="M21" s="2" t="n"/>
      <c r="N21" s="2" t="n"/>
      <c r="O21" s="2" t="n"/>
      <c r="P21" s="2" t="n"/>
      <c r="Q21" s="2" t="n"/>
    </row>
    <row r="22">
      <c r="A22" s="2" t="n"/>
      <c r="B22" s="2" t="n"/>
      <c r="C22" s="2" t="n"/>
      <c r="D22" s="2" t="n">
        <v>8</v>
      </c>
      <c r="E22" s="3">
        <f>IF(OR(C21=0,D22=0),"/",D22/C21)</f>
        <v/>
      </c>
      <c r="F22" s="2" t="inlineStr">
        <is>
          <t>Watch 3 mins of dramas</t>
        </is>
      </c>
      <c r="G22" s="2" t="n">
        <v>279</v>
      </c>
      <c r="H22" s="3">
        <f>IF(OR($C$21=0,G22="/"),"/",G22/$C$21)</f>
        <v/>
      </c>
      <c r="I22" s="2" t="n">
        <v>428</v>
      </c>
      <c r="J22" s="2" t="n"/>
      <c r="K22" s="2" t="n"/>
      <c r="L22" s="2" t="n"/>
      <c r="M22" s="2" t="n"/>
      <c r="N22" s="2" t="n"/>
      <c r="O22" s="2" t="n"/>
      <c r="P22" s="2" t="n"/>
      <c r="Q22" s="2" t="n"/>
    </row>
    <row r="23">
      <c r="A23" s="2" t="n"/>
      <c r="B23" s="2" t="n"/>
      <c r="C23" s="2" t="n"/>
      <c r="D23" s="2" t="n"/>
      <c r="E23" s="2" t="n"/>
      <c r="F23" s="2" t="inlineStr">
        <is>
          <t>Watch 3 videos</t>
        </is>
      </c>
      <c r="G23" s="2" t="n">
        <v>202</v>
      </c>
      <c r="H23" s="3">
        <f>IF(OR($C$21=0,G23="/"),"/",G23/$C$21)</f>
        <v/>
      </c>
      <c r="I23" s="2" t="n">
        <v>656</v>
      </c>
      <c r="J23" s="2" t="n"/>
      <c r="K23" s="2" t="n"/>
      <c r="L23" s="2" t="n"/>
      <c r="M23" s="2" t="n"/>
      <c r="N23" s="2" t="n"/>
      <c r="O23" s="2" t="n"/>
      <c r="P23" s="2" t="n"/>
      <c r="Q23" s="2" t="n"/>
    </row>
    <row r="24">
      <c r="A24" s="2" t="n"/>
      <c r="B24" s="2" t="n"/>
      <c r="C24" s="2" t="n"/>
      <c r="D24" s="2" t="n"/>
      <c r="E24" s="2" t="n"/>
      <c r="F24" s="2" t="inlineStr">
        <is>
          <t>/</t>
        </is>
      </c>
      <c r="G24" s="2" t="inlineStr">
        <is>
          <t>/</t>
        </is>
      </c>
      <c r="H24" s="2" t="n"/>
      <c r="I24" s="2" t="inlineStr">
        <is>
          <t>/</t>
        </is>
      </c>
      <c r="J24" s="2" t="n"/>
      <c r="K24" s="2" t="n"/>
      <c r="L24" s="2" t="n"/>
      <c r="M24" s="2" t="n"/>
      <c r="N24" s="2" t="n"/>
      <c r="O24" s="2" t="n"/>
      <c r="P24" s="2" t="n"/>
      <c r="Q24" s="2" t="n"/>
    </row>
    <row r="25">
      <c r="A25" s="2" t="inlineStr">
        <is>
          <t>金币大派送</t>
        </is>
      </c>
      <c r="B25" s="2" t="inlineStr">
        <is>
          <t>2026-05-19 ~ 2026-06-30</t>
        </is>
      </c>
      <c r="C25" s="2" t="n">
        <v>96037</v>
      </c>
      <c r="D25" s="2" t="n">
        <v>43135</v>
      </c>
      <c r="E25" s="3">
        <f>IF(OR(C25=0,D25="/"),"/",D25/C25)</f>
        <v/>
      </c>
      <c r="F25" s="2" t="inlineStr">
        <is>
          <t>看剧300s</t>
        </is>
      </c>
      <c r="G25" s="2" t="n">
        <v>9698</v>
      </c>
      <c r="H25" s="3">
        <f>IF(OR($C$25=0,G25="/"),"/",G25/$C$25)</f>
        <v/>
      </c>
      <c r="I25" s="2" t="n">
        <v>12185</v>
      </c>
      <c r="J25" s="3" t="n">
        <v>0.09119999999999999</v>
      </c>
      <c r="K25" s="3" t="n">
        <v>0.06</v>
      </c>
      <c r="L25" s="2" t="n">
        <v>3780231</v>
      </c>
      <c r="M25" s="3" t="n">
        <v>0.5104005994815295</v>
      </c>
      <c r="N25" s="2" t="n">
        <v>9912</v>
      </c>
      <c r="O25" s="3">
        <f>IF(OR($C$25=0,N25="/"),"/",N25/$C$25)</f>
        <v/>
      </c>
      <c r="P25" s="2" t="n">
        <v>1312</v>
      </c>
      <c r="Q25" s="3">
        <f>IF(OR($C$25=0,P25="/"),"/",P25/$C$25)</f>
        <v/>
      </c>
    </row>
    <row r="26">
      <c r="A26" s="2" t="inlineStr">
        <is>
          <t>金币大派送</t>
        </is>
      </c>
      <c r="B26" s="2" t="inlineStr">
        <is>
          <t>2026-05-19 ~ 2026-06-30</t>
        </is>
      </c>
      <c r="C26" s="2" t="n">
        <v>38925</v>
      </c>
      <c r="D26" s="2" t="n">
        <v>17733</v>
      </c>
      <c r="E26" s="3">
        <f>IF(OR(C26=0,D26="/"),"/",D26/C26)</f>
        <v/>
      </c>
      <c r="F26" s="2" t="inlineStr">
        <is>
          <t>看剧300s</t>
        </is>
      </c>
      <c r="G26" s="2" t="n">
        <v>3600</v>
      </c>
      <c r="H26" s="3">
        <f>IF(OR($C$26=0,G26="/"),"/",G26/$C$26)</f>
        <v/>
      </c>
      <c r="I26" s="2" t="n">
        <v>4570</v>
      </c>
      <c r="J26" s="3" t="n">
        <v>0.09960000000000001</v>
      </c>
      <c r="K26" s="3" t="n">
        <v>0.0505</v>
      </c>
      <c r="L26" s="2" t="n">
        <v>1345673</v>
      </c>
      <c r="M26" s="3" t="n">
        <v>0.4283672884701089</v>
      </c>
      <c r="N26" s="2" t="n">
        <v>4024</v>
      </c>
      <c r="O26" s="3">
        <f>IF(OR($C$26=0,N26="/"),"/",N26/$C$26)</f>
        <v/>
      </c>
      <c r="P26" s="2" t="n">
        <v>562</v>
      </c>
      <c r="Q26" s="3">
        <f>IF(OR($C$26=0,P26="/"),"/",P26/$C$26)</f>
        <v/>
      </c>
    </row>
    <row r="27">
      <c r="A27" s="2" t="inlineStr">
        <is>
          <t>激励养成</t>
        </is>
      </c>
      <c r="B27" s="2" t="inlineStr">
        <is>
          <t>2026-01-06 ~ 2026-11-28</t>
        </is>
      </c>
      <c r="C27" s="2" t="n">
        <v>23354</v>
      </c>
      <c r="D27" s="2" t="n">
        <v>6310</v>
      </c>
      <c r="E27" s="3">
        <f>IF(OR(C27=0,D27="/"),"/",D27/C27)</f>
        <v/>
      </c>
      <c r="F27" s="2" t="inlineStr">
        <is>
          <t>Visit 2 pages</t>
        </is>
      </c>
      <c r="G27" s="2" t="n">
        <v>1059</v>
      </c>
      <c r="H27" s="3">
        <f>IF(OR($C$27=0,G27="/"),"/",G27/$C$27)</f>
        <v/>
      </c>
      <c r="I27" s="2" t="n">
        <v>2558</v>
      </c>
      <c r="J27" s="3" t="inlineStr">
        <is>
          <t>/</t>
        </is>
      </c>
      <c r="K27" s="3" t="inlineStr">
        <is>
          <t>/</t>
        </is>
      </c>
      <c r="L27" s="2" t="n"/>
      <c r="M27" s="2" t="n"/>
      <c r="N27" s="2" t="n"/>
      <c r="O27" s="2" t="n"/>
      <c r="P27" s="2" t="n"/>
      <c r="Q27" s="2" t="n"/>
    </row>
    <row r="28">
      <c r="A28" s="2" t="n"/>
      <c r="B28" s="2" t="n"/>
      <c r="C28" s="2" t="n"/>
      <c r="D28" s="2" t="n">
        <v>1</v>
      </c>
      <c r="E28" s="3">
        <f>IF(OR(C27=0,D28=0),"/",D28/C27)</f>
        <v/>
      </c>
      <c r="F28" s="2" t="inlineStr">
        <is>
          <t xml:space="preserve">Read 3 different articles </t>
        </is>
      </c>
      <c r="G28" s="2" t="n">
        <v>142</v>
      </c>
      <c r="H28" s="3">
        <f>IF(OR($C$27=0,G28="/"),"/",G28/$C$27)</f>
        <v/>
      </c>
      <c r="I28" s="2" t="n">
        <v>320</v>
      </c>
      <c r="J28" s="2" t="n"/>
      <c r="K28" s="2" t="n"/>
      <c r="L28" s="2" t="n"/>
      <c r="M28" s="2" t="n"/>
      <c r="N28" s="2" t="n"/>
      <c r="O28" s="2" t="n"/>
      <c r="P28" s="2" t="n"/>
      <c r="Q28" s="2" t="n"/>
    </row>
    <row r="29">
      <c r="A29" s="2" t="n"/>
      <c r="B29" s="2" t="n"/>
      <c r="C29" s="2" t="n"/>
      <c r="D29" s="2" t="n"/>
      <c r="E29" s="2" t="n"/>
      <c r="F29" s="2" t="inlineStr">
        <is>
          <t xml:space="preserve">load &amp;view articles </t>
        </is>
      </c>
      <c r="G29" s="2" t="n">
        <v>124</v>
      </c>
      <c r="H29" s="3">
        <f>IF(OR($C$27=0,G29="/"),"/",G29/$C$27)</f>
        <v/>
      </c>
      <c r="I29" s="2" t="n">
        <v>283</v>
      </c>
      <c r="J29" s="2" t="n"/>
      <c r="K29" s="2" t="n"/>
      <c r="L29" s="2" t="n"/>
      <c r="M29" s="2" t="n"/>
      <c r="N29" s="2" t="n"/>
      <c r="O29" s="2" t="n"/>
      <c r="P29" s="2" t="n"/>
      <c r="Q29" s="2" t="n"/>
    </row>
    <row r="30">
      <c r="A30" s="2" t="n"/>
      <c r="B30" s="2" t="n"/>
      <c r="C30" s="2" t="n"/>
      <c r="D30" s="2" t="n"/>
      <c r="E30" s="2" t="n"/>
      <c r="F30" s="2" t="inlineStr">
        <is>
          <t>/</t>
        </is>
      </c>
      <c r="G30" s="2" t="inlineStr">
        <is>
          <t>/</t>
        </is>
      </c>
      <c r="H30" s="2" t="n"/>
      <c r="I30" s="2" t="inlineStr">
        <is>
          <t>/</t>
        </is>
      </c>
      <c r="J30" s="2" t="n"/>
      <c r="K30" s="2" t="n"/>
      <c r="L30" s="2" t="n"/>
      <c r="M30" s="2" t="n"/>
      <c r="N30" s="2" t="n"/>
      <c r="O30" s="2" t="n"/>
      <c r="P30" s="2" t="n"/>
      <c r="Q30" s="2" t="n"/>
    </row>
    <row r="31">
      <c r="A31" s="2" t="inlineStr">
        <is>
          <t>幸运翻牌</t>
        </is>
      </c>
      <c r="B31" s="2" t="inlineStr">
        <is>
          <t>2026-01-05 ~ 2026-12-07</t>
        </is>
      </c>
      <c r="C31" s="2" t="n">
        <v>30324</v>
      </c>
      <c r="D31" s="2" t="n">
        <v>7630</v>
      </c>
      <c r="E31" s="3">
        <f>IF(OR(C31=0,D31="/"),"/",D31/C31)</f>
        <v/>
      </c>
      <c r="F31" s="2" t="inlineStr">
        <is>
          <t xml:space="preserve">Read 3 different articles </t>
        </is>
      </c>
      <c r="G31" s="2" t="n">
        <v>1044</v>
      </c>
      <c r="H31" s="3">
        <f>IF(OR($C$31=0,G31="/"),"/",G31/$C$31)</f>
        <v/>
      </c>
      <c r="I31" s="2" t="n">
        <v>1926</v>
      </c>
      <c r="J31" s="3" t="n">
        <v>0.0655</v>
      </c>
      <c r="K31" s="3" t="n">
        <v>0.0101</v>
      </c>
      <c r="L31" s="2" t="n"/>
      <c r="M31" s="2" t="n"/>
      <c r="N31" s="2" t="n"/>
      <c r="O31" s="2" t="n"/>
      <c r="P31" s="2" t="n"/>
      <c r="Q31" s="2" t="n"/>
    </row>
    <row r="32">
      <c r="A32" s="2" t="n"/>
      <c r="B32" s="2" t="n"/>
      <c r="C32" s="2" t="n"/>
      <c r="D32" s="2" t="n"/>
      <c r="E32" s="2" t="n"/>
      <c r="F32" s="2" t="inlineStr">
        <is>
          <t xml:space="preserve">Visit 2 pages </t>
        </is>
      </c>
      <c r="G32" s="2" t="n">
        <v>469</v>
      </c>
      <c r="H32" s="3">
        <f>IF(OR($C$31=0,G32="/"),"/",G32/$C$31)</f>
        <v/>
      </c>
      <c r="I32" s="2" t="n">
        <v>674</v>
      </c>
      <c r="J32" s="2" t="n"/>
      <c r="K32" s="2" t="n"/>
      <c r="L32" s="2" t="n"/>
      <c r="M32" s="2" t="n"/>
      <c r="N32" s="2" t="n"/>
      <c r="O32" s="2" t="n"/>
      <c r="P32" s="2" t="n"/>
      <c r="Q32" s="2" t="n"/>
    </row>
    <row r="33">
      <c r="A33" s="2" t="n"/>
      <c r="B33" s="2" t="n"/>
      <c r="C33" s="2" t="n"/>
      <c r="D33" s="2" t="n"/>
      <c r="E33" s="2" t="n"/>
      <c r="F33" s="2" t="inlineStr">
        <is>
          <t xml:space="preserve">load &amp;view articles </t>
        </is>
      </c>
      <c r="G33" s="2" t="n">
        <v>218</v>
      </c>
      <c r="H33" s="3">
        <f>IF(OR($C$31=0,G33="/"),"/",G33/$C$31)</f>
        <v/>
      </c>
      <c r="I33" s="2" t="n">
        <v>271</v>
      </c>
      <c r="J33" s="2" t="n"/>
      <c r="K33" s="2" t="n"/>
      <c r="L33" s="2" t="n"/>
      <c r="M33" s="2" t="n"/>
      <c r="N33" s="2" t="n"/>
      <c r="O33" s="2" t="n"/>
      <c r="P33" s="2" t="n"/>
      <c r="Q33" s="2" t="n"/>
    </row>
    <row r="34">
      <c r="A34" s="2" t="n"/>
      <c r="B34" s="2" t="n"/>
      <c r="C34" s="2" t="n"/>
      <c r="D34" s="2" t="n"/>
      <c r="E34" s="2" t="n"/>
      <c r="F34" s="2" t="inlineStr">
        <is>
          <t>Visit least three articles</t>
        </is>
      </c>
      <c r="G34" s="2" t="n">
        <v>165</v>
      </c>
      <c r="H34" s="3">
        <f>IF(OR($C$31=0,G34="/"),"/",G34/$C$31)</f>
        <v/>
      </c>
      <c r="I34" s="2" t="n">
        <v>223</v>
      </c>
      <c r="J34" s="2" t="n"/>
      <c r="K34" s="2" t="n"/>
      <c r="L34" s="2" t="n"/>
      <c r="M34" s="2" t="n"/>
      <c r="N34" s="2" t="n"/>
      <c r="O34" s="2" t="n"/>
      <c r="P34" s="2" t="n"/>
      <c r="Q34" s="2" t="n"/>
    </row>
    <row r="35">
      <c r="A35" s="2" t="n"/>
      <c r="B35" s="2" t="n"/>
      <c r="C35" s="2" t="n"/>
      <c r="D35" s="2" t="n"/>
      <c r="E35" s="2" t="n"/>
      <c r="F35" s="2" t="inlineStr">
        <is>
          <t>Visit different articles</t>
        </is>
      </c>
      <c r="G35" s="2" t="n">
        <v>233</v>
      </c>
      <c r="H35" s="3">
        <f>IF(OR($C$31=0,G35="/"),"/",G35/$C$31)</f>
        <v/>
      </c>
      <c r="I35" s="2" t="n">
        <v>309</v>
      </c>
      <c r="J35" s="2" t="n"/>
      <c r="K35" s="2" t="n"/>
      <c r="L35" s="2" t="n"/>
      <c r="M35" s="2" t="n"/>
      <c r="N35" s="2" t="n"/>
      <c r="O35" s="2" t="n"/>
      <c r="P35" s="2" t="n"/>
      <c r="Q35" s="2" t="n"/>
    </row>
    <row r="36">
      <c r="A36" s="2" t="inlineStr">
        <is>
          <t>轮盘争上游</t>
        </is>
      </c>
      <c r="B36" s="2" t="inlineStr">
        <is>
          <t>2025-11-21 ~ 2026-05-28</t>
        </is>
      </c>
      <c r="C36" s="2" t="n">
        <v>17438</v>
      </c>
      <c r="D36" s="2" t="n">
        <v>12031</v>
      </c>
      <c r="E36" s="3">
        <f>IF(OR(C36=0,D36="/"),"/",D36/C36)</f>
        <v/>
      </c>
      <c r="F36" s="2" t="inlineStr">
        <is>
          <t xml:space="preserve">Read 3 different articles </t>
        </is>
      </c>
      <c r="G36" s="2" t="n">
        <v>1688</v>
      </c>
      <c r="H36" s="3">
        <f>IF(OR($C$36=0,G36="/"),"/",G36/$C$36)</f>
        <v/>
      </c>
      <c r="I36" s="2" t="n">
        <v>6991</v>
      </c>
      <c r="J36" s="3" t="n">
        <v>0.178</v>
      </c>
      <c r="K36" s="3" t="n">
        <v>0.1386</v>
      </c>
      <c r="L36" s="2" t="n"/>
      <c r="M36" s="2" t="n"/>
      <c r="N36" s="2" t="n"/>
      <c r="O36" s="2" t="n"/>
      <c r="P36" s="2" t="n"/>
      <c r="Q36" s="2" t="n"/>
    </row>
    <row r="37">
      <c r="A37" s="2" t="n"/>
      <c r="B37" s="2" t="n"/>
      <c r="C37" s="2" t="n"/>
      <c r="D37" s="2" t="n"/>
      <c r="E37" s="2" t="n"/>
      <c r="F37" s="2" t="inlineStr">
        <is>
          <t xml:space="preserve">Visit 2 pages </t>
        </is>
      </c>
      <c r="G37" s="2" t="n">
        <v>1030</v>
      </c>
      <c r="H37" s="3">
        <f>IF(OR($C$36=0,G37="/"),"/",G37/$C$36)</f>
        <v/>
      </c>
      <c r="I37" s="2" t="n">
        <v>4819</v>
      </c>
      <c r="J37" s="2" t="n"/>
      <c r="K37" s="2" t="n"/>
      <c r="L37" s="2" t="n"/>
      <c r="M37" s="2" t="n"/>
      <c r="N37" s="2" t="n"/>
      <c r="O37" s="2" t="n"/>
      <c r="P37" s="2" t="n"/>
      <c r="Q37" s="2" t="n"/>
    </row>
    <row r="38">
      <c r="A38" s="2" t="n"/>
      <c r="B38" s="2" t="n"/>
      <c r="C38" s="2" t="n"/>
      <c r="D38" s="2" t="n"/>
      <c r="E38" s="2" t="n"/>
      <c r="F38" s="2" t="inlineStr">
        <is>
          <t xml:space="preserve">load &amp;view articles </t>
        </is>
      </c>
      <c r="G38" s="2" t="n">
        <v>739</v>
      </c>
      <c r="H38" s="3">
        <f>IF(OR($C$36=0,G38="/"),"/",G38/$C$36)</f>
        <v/>
      </c>
      <c r="I38" s="2" t="n">
        <v>4055</v>
      </c>
      <c r="J38" s="2" t="n"/>
      <c r="K38" s="2" t="n"/>
      <c r="L38" s="2" t="n"/>
      <c r="M38" s="2" t="n"/>
      <c r="N38" s="2" t="n"/>
      <c r="O38" s="2" t="n"/>
      <c r="P38" s="2" t="n"/>
      <c r="Q38" s="2" t="n"/>
    </row>
    <row r="39">
      <c r="A39" s="2" t="n"/>
      <c r="B39" s="2" t="n"/>
      <c r="C39" s="2" t="n"/>
      <c r="D39" s="2" t="n"/>
      <c r="E39" s="2" t="n"/>
      <c r="F39" s="2" t="inlineStr">
        <is>
          <t>Visit least three articles</t>
        </is>
      </c>
      <c r="G39" s="2" t="n">
        <v>556</v>
      </c>
      <c r="H39" s="3">
        <f>IF(OR($C$36=0,G39="/"),"/",G39/$C$36)</f>
        <v/>
      </c>
      <c r="I39" s="2" t="n">
        <v>3951</v>
      </c>
      <c r="J39" s="2" t="n"/>
      <c r="K39" s="2" t="n"/>
      <c r="L39" s="2" t="n"/>
      <c r="M39" s="2" t="n"/>
      <c r="N39" s="2" t="n"/>
      <c r="O39" s="2" t="n"/>
      <c r="P39" s="2" t="n"/>
      <c r="Q39" s="2" t="n"/>
    </row>
    <row r="40">
      <c r="A40" s="2" t="n"/>
      <c r="B40" s="2" t="n"/>
      <c r="C40" s="2" t="n"/>
      <c r="D40" s="2" t="n"/>
      <c r="E40" s="2" t="n"/>
      <c r="F40" s="2" t="inlineStr">
        <is>
          <t>Visit different articles</t>
        </is>
      </c>
      <c r="G40" s="2" t="n">
        <v>743</v>
      </c>
      <c r="H40" s="3">
        <f>IF(OR($C$36=0,G40="/"),"/",G40/$C$36)</f>
        <v/>
      </c>
      <c r="I40" s="2" t="n">
        <v>4086</v>
      </c>
      <c r="J40" s="2" t="n"/>
      <c r="K40" s="2" t="n"/>
      <c r="L40" s="2" t="n"/>
      <c r="M40" s="2" t="n"/>
      <c r="N40" s="2" t="n"/>
      <c r="O40" s="2" t="n"/>
      <c r="P40" s="2" t="n"/>
      <c r="Q40" s="2" t="n"/>
    </row>
    <row r="41">
      <c r="A41" s="2" t="inlineStr">
        <is>
          <t>现金大抽奖</t>
        </is>
      </c>
      <c r="B41" s="2" t="inlineStr">
        <is>
          <t>2025-08-27 ~ 2025-09-29</t>
        </is>
      </c>
      <c r="C41" s="2" t="n">
        <v>1036237</v>
      </c>
      <c r="D41" s="2" t="inlineStr">
        <is>
          <t>/</t>
        </is>
      </c>
      <c r="E41" s="3">
        <f>IF(OR(C41=0,D41="/"),"/",D41/C41)</f>
        <v/>
      </c>
      <c r="F41" s="2" t="inlineStr">
        <is>
          <t>/</t>
        </is>
      </c>
      <c r="G41" s="2" t="inlineStr">
        <is>
          <t>/</t>
        </is>
      </c>
      <c r="H41" s="2" t="n"/>
      <c r="I41" s="2" t="inlineStr">
        <is>
          <t>/</t>
        </is>
      </c>
      <c r="J41" s="3" t="n">
        <v>0.08</v>
      </c>
      <c r="K41" s="3" t="n">
        <v>0.05</v>
      </c>
      <c r="L41" s="2" t="n"/>
      <c r="M41" s="2" t="n"/>
      <c r="N41" s="2" t="n"/>
      <c r="O41" s="2" t="n"/>
      <c r="P41" s="2" t="n"/>
      <c r="Q41" s="2" t="n"/>
    </row>
    <row r="42">
      <c r="A42" s="2" t="inlineStr">
        <is>
          <t>现金大抽奖</t>
        </is>
      </c>
      <c r="B42" s="2" t="inlineStr">
        <is>
          <t>2025-08-19 ~ 2025-08-31</t>
        </is>
      </c>
      <c r="C42" s="2" t="n">
        <v>16</v>
      </c>
      <c r="D42" s="2" t="inlineStr">
        <is>
          <t>/</t>
        </is>
      </c>
      <c r="E42" s="3">
        <f>IF(OR(C42=0,D42="/"),"/",D42/C42)</f>
        <v/>
      </c>
      <c r="F42" s="2" t="inlineStr">
        <is>
          <t>/</t>
        </is>
      </c>
      <c r="G42" s="2" t="inlineStr">
        <is>
          <t>/</t>
        </is>
      </c>
      <c r="H42" s="2" t="n"/>
      <c r="I42" s="2" t="inlineStr">
        <is>
          <t>/</t>
        </is>
      </c>
      <c r="J42" s="3" t="inlineStr">
        <is>
          <t>/</t>
        </is>
      </c>
      <c r="K42" s="3" t="inlineStr">
        <is>
          <t>/</t>
        </is>
      </c>
      <c r="L42" s="2" t="n"/>
      <c r="M42" s="2" t="n"/>
      <c r="N42" s="2" t="n"/>
      <c r="O42" s="2" t="n"/>
      <c r="P42" s="2" t="n"/>
      <c r="Q4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2026-06-16T07:40:33Z</dcterms:created>
  <dcterms:modified xmlns:dcterms="http://purl.org/dc/terms/" xmlns:xsi="http://www.w3.org/2001/XMLSchema-instance" xsi:type="dcterms:W3CDTF">2026-06-16T07:40:33Z</dcterms:modified>
</cp:coreProperties>
</file>